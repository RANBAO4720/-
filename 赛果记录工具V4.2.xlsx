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1"/>
  </bookViews>
  <sheets>
    <sheet name="BO3" sheetId="1" r:id="rId1"/>
    <sheet name="BO5" sheetId="8" r:id="rId2"/>
    <sheet name="更新日志" sheetId="3" r:id="rId3"/>
    <sheet name="BO3计算表" sheetId="6" state="hidden" r:id="rId4"/>
    <sheet name="得分规则" sheetId="7" state="hidden" r:id="rId5"/>
    <sheet name="BO5计算表" sheetId="9" state="hidden" r:id="rId6"/>
    <sheet name="WpsReserved_CellImgList" sheetId="4" state="veryHidden" r:id="rId7"/>
  </sheets>
  <definedNames>
    <definedName name="比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A4312AC85894956AA7CDE06ED97B8C4" descr=" "/>
        <xdr:cNvPicPr/>
      </xdr:nvPicPr>
      <xdr:blipFill>
        <a:blip r:embed="rId1"/>
        <a:srcRect/>
        <a:stretch>
          <a:fillRect/>
        </a:stretch>
      </xdr:blipFill>
      <xdr:spPr>
        <a:xfrm>
          <a:off x="9801225" y="229235"/>
          <a:ext cx="998220" cy="3111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<sst xmlns="http://schemas.openxmlformats.org/spreadsheetml/2006/main" count="692" uniqueCount="114">
  <si>
    <t>BO3</t>
  </si>
  <si>
    <t>结果输出区</t>
  </si>
  <si>
    <t>控制区</t>
  </si>
  <si>
    <t>主队名</t>
  </si>
  <si>
    <t>vs</t>
  </si>
  <si>
    <t>客队名</t>
  </si>
  <si>
    <t>队伍填写</t>
  </si>
  <si>
    <t>时间</t>
  </si>
  <si>
    <t>日期填写</t>
  </si>
  <si>
    <t>年</t>
  </si>
  <si>
    <t>月</t>
  </si>
  <si>
    <t>日</t>
  </si>
  <si>
    <t>BO3赛制第一局：</t>
  </si>
  <si>
    <t>客队禁图</t>
  </si>
  <si>
    <t>第一局</t>
  </si>
  <si>
    <t>使用须知</t>
  </si>
  <si>
    <t>制作</t>
  </si>
  <si>
    <t>技术指导</t>
  </si>
  <si>
    <t>赛前BP</t>
  </si>
  <si>
    <t>客场禁图</t>
  </si>
  <si>
    <t>主场选图</t>
  </si>
  <si>
    <t>客场选边</t>
  </si>
  <si>
    <t>养只燃宝</t>
  </si>
  <si>
    <t>弓局DeepSeek</t>
  </si>
  <si>
    <t>主队选图</t>
  </si>
  <si>
    <t xml:space="preserve">本工具旨在优化第五人格比赛中裁判记录数据的工作流程。
本工具有「BO3」和「BO5」两种模式以适应不同比赛赛制下的需求，使用者可以在右下角导航栏处自由切换。
使用时，需要在控制区的白色空格里进行填写，结果会在左侧的结果输出区同步，其中，大小比分合计、赛果，和全局BP为自动生成。
</t>
  </si>
  <si>
    <t>上半场</t>
  </si>
  <si>
    <t>客队选边</t>
  </si>
  <si>
    <t>监管者方禁用2人</t>
  </si>
  <si>
    <t>求生者方选择2人</t>
  </si>
  <si>
    <t>监管者方禁用1人</t>
  </si>
  <si>
    <t>求生者方选择1人</t>
  </si>
  <si>
    <t>当前全局BP已禁用0人</t>
  </si>
  <si>
    <t>监管者方选择1人</t>
  </si>
  <si>
    <t>本局结果</t>
  </si>
  <si>
    <t>下半场</t>
  </si>
  <si>
    <t>小比分（主：客）</t>
  </si>
  <si>
    <t>比分
计算规则</t>
  </si>
  <si>
    <t>依据</t>
  </si>
  <si>
    <t>第五人格2025年
IVL赛事规则</t>
  </si>
  <si>
    <t>大比分计算规则</t>
  </si>
  <si>
    <t>当某队该局的小比分存在优势时，则小比分优势的队伍得1分大比分，另一队不得大比分
若某局双方小比分相等，则双方各得1分大比分</t>
  </si>
  <si>
    <t>小比分计算规则</t>
  </si>
  <si>
    <t>小比分为上下半场独立计算后汇总，与两支队伍求生者的逃脱数量有直接关系，具体如下：</t>
  </si>
  <si>
    <t>本局大比分</t>
  </si>
  <si>
    <t>小比分规则</t>
  </si>
  <si>
    <t>求生者</t>
  </si>
  <si>
    <t>监管者</t>
  </si>
  <si>
    <t>小比分合计</t>
  </si>
  <si>
    <t>逃脱人数</t>
  </si>
  <si>
    <t>四跑</t>
  </si>
  <si>
    <t>三跑</t>
  </si>
  <si>
    <t>平局</t>
  </si>
  <si>
    <t>BO3赛制第二局：</t>
  </si>
  <si>
    <t>第二局</t>
  </si>
  <si>
    <t>三抓</t>
  </si>
  <si>
    <t>主场禁图</t>
  </si>
  <si>
    <t>客场选图</t>
  </si>
  <si>
    <t>主场选边</t>
  </si>
  <si>
    <t>四抓</t>
  </si>
  <si>
    <t>主队禁图</t>
  </si>
  <si>
    <t>客队选图</t>
  </si>
  <si>
    <t>求生者方禁用1人</t>
  </si>
  <si>
    <t>主队选边</t>
  </si>
  <si>
    <t>全局BP：</t>
  </si>
  <si>
    <t>大比分合计</t>
  </si>
  <si>
    <t>赛果</t>
  </si>
  <si>
    <t>BO3赛制第三局：</t>
  </si>
  <si>
    <t>第三局</t>
  </si>
  <si>
    <t>求生者方禁用2人</t>
  </si>
  <si>
    <t>全图BP：</t>
  </si>
  <si>
    <t>BO3赛制第四局（加赛）：</t>
  </si>
  <si>
    <t>加赛</t>
  </si>
  <si>
    <t>禁图</t>
  </si>
  <si>
    <t>——</t>
  </si>
  <si>
    <t>[BO5]</t>
  </si>
  <si>
    <t>BO5赛制第一局：</t>
  </si>
  <si>
    <t>BO5赛制第二局：</t>
  </si>
  <si>
    <t>BO5赛制第三局：</t>
  </si>
  <si>
    <t>BO5赛制第四局：</t>
  </si>
  <si>
    <t>第四局</t>
  </si>
  <si>
    <t>BO5赛制第五局：</t>
  </si>
  <si>
    <t>第五局</t>
  </si>
  <si>
    <t>BO5赛制第六局（加赛）：</t>
  </si>
  <si>
    <t>更新日志</t>
  </si>
  <si>
    <t>2026年2月15日
V4.0更新日志
新增了BO5赛制表格
新增了比分计算规则的提示
修复了一大堆已知bug
新增了一大堆石山代码和bug
适配了比赛规则中的特殊结束规则
优化了UI表现</t>
  </si>
  <si>
    <t>2026年9月19日
V4.1更新日志
修复了BO3表格的一大堆已知bug
新增了一大堆石山代码和bug
新增了BO3表格中部分单元格的内容有效性审查
优化了BO3表格中部分单元格的未写入数据时的提示词</t>
  </si>
  <si>
    <t>2026年9月19日
V4.2更新日志
重构了BO3表格和BO5表格的函数，删除了一大堆石山代码
新增了一些石山代码和bug
修复了BO3表格中，第一局客场方缺少一张地图禁用位置的问题</t>
  </si>
  <si>
    <t>BO3计算表</t>
  </si>
  <si>
    <t>对局</t>
  </si>
  <si>
    <t>半场</t>
  </si>
  <si>
    <t>主队</t>
  </si>
  <si>
    <t>客队</t>
  </si>
  <si>
    <t>主场持边</t>
  </si>
  <si>
    <t>监管者方队伍</t>
  </si>
  <si>
    <t>求生者方队伍</t>
  </si>
  <si>
    <t>监管得分</t>
  </si>
  <si>
    <t>求生得分</t>
  </si>
  <si>
    <t>主小比分</t>
  </si>
  <si>
    <t>客小比分</t>
  </si>
  <si>
    <t>主大比分</t>
  </si>
  <si>
    <t>客大比分</t>
  </si>
  <si>
    <t>备注</t>
  </si>
  <si>
    <t>上</t>
  </si>
  <si>
    <t>下</t>
  </si>
  <si>
    <t>结果</t>
  </si>
  <si>
    <t>求生者得分</t>
  </si>
  <si>
    <t>监管者得分</t>
  </si>
  <si>
    <t>BO5计算表</t>
  </si>
  <si>
    <t>主队持边</t>
  </si>
  <si>
    <t>每局主队大比分</t>
  </si>
  <si>
    <t>每局客队大比分</t>
  </si>
  <si>
    <t>主累计大比分</t>
  </si>
  <si>
    <t>客累计大比分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</si>
</sst>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\-0;;@"/>
  </numFmts>
  <fonts count="44">
    <font>
      <sz val="11"/>
      <name val="宋体"/>
      <charset val="134"/>
    </font>
    <font>
      <sz val="11"/>
      <color theme="1"/>
      <name val="等线"/>
      <charset val="134"/>
    </font>
    <font>
      <b/>
      <sz val="24"/>
      <color theme="0"/>
      <name val="等线"/>
      <charset val="134"/>
    </font>
    <font>
      <sz val="11"/>
      <color theme="0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b/>
      <sz val="26"/>
      <color rgb="FFFFFFFF"/>
      <name val="等线"/>
      <charset val="134"/>
    </font>
    <font>
      <b/>
      <sz val="20"/>
      <color rgb="FFFFFFFF"/>
      <name val="汉仪劲楷简"/>
      <charset val="134"/>
    </font>
    <font>
      <sz val="20"/>
      <color rgb="FF000000"/>
      <name val="等线"/>
      <charset val="134"/>
    </font>
    <font>
      <b/>
      <sz val="26"/>
      <color rgb="FF000000"/>
      <name val="等线"/>
      <charset val="134"/>
    </font>
    <font>
      <b/>
      <sz val="11"/>
      <color rgb="FF000000"/>
      <name val="等线"/>
      <charset val="134"/>
    </font>
    <font>
      <sz val="14"/>
      <color rgb="FF000000"/>
      <name val="汉仪劲楷简"/>
      <charset val="134"/>
    </font>
    <font>
      <sz val="11"/>
      <color rgb="FFFFFFFF"/>
      <name val="等线"/>
      <charset val="134"/>
    </font>
    <font>
      <u/>
      <sz val="11"/>
      <color rgb="FF000000"/>
      <name val="等线"/>
      <charset val="134"/>
    </font>
    <font>
      <sz val="20"/>
      <color rgb="FF000000"/>
      <name val="汉仪劲楷简"/>
      <charset val="134"/>
    </font>
    <font>
      <strike/>
      <sz val="11"/>
      <color rgb="FF000000"/>
      <name val="等线"/>
      <charset val="134"/>
    </font>
    <font>
      <sz val="11"/>
      <color rgb="FF000000"/>
      <name val="汉仪劲楷简"/>
      <charset val="134"/>
    </font>
    <font>
      <sz val="16"/>
      <color rgb="FF000000"/>
      <name val="汉仪劲楷简"/>
      <charset val="134"/>
    </font>
    <font>
      <b/>
      <sz val="11"/>
      <color rgb="FFFFFFFF"/>
      <name val="等线"/>
      <charset val="134"/>
    </font>
    <font>
      <sz val="11"/>
      <color rgb="FFD9E1F4"/>
      <name val="等线"/>
      <charset val="134"/>
    </font>
    <font>
      <sz val="14"/>
      <name val="汉仪劲楷简"/>
      <charset val="134"/>
    </font>
    <font>
      <sz val="16"/>
      <color rgb="FFFFFFFF"/>
      <name val="汉仪劲楷简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861322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1E366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20" borderId="7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1" applyNumberFormat="0" applyFill="0" applyAlignment="0" applyProtection="0">
      <alignment vertical="center"/>
    </xf>
    <xf numFmtId="0" fontId="31" fillId="0" borderId="71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1" borderId="73" applyNumberFormat="0" applyAlignment="0" applyProtection="0">
      <alignment vertical="center"/>
    </xf>
    <xf numFmtId="0" fontId="34" fillId="18" borderId="74" applyNumberFormat="0" applyAlignment="0" applyProtection="0">
      <alignment vertical="center"/>
    </xf>
    <xf numFmtId="0" fontId="35" fillId="18" borderId="73" applyNumberFormat="0" applyAlignment="0" applyProtection="0">
      <alignment vertical="center"/>
    </xf>
    <xf numFmtId="0" fontId="36" fillId="22" borderId="75" applyNumberFormat="0" applyAlignment="0" applyProtection="0">
      <alignment vertical="center"/>
    </xf>
    <xf numFmtId="0" fontId="37" fillId="0" borderId="76" applyNumberFormat="0" applyFill="0" applyAlignment="0" applyProtection="0">
      <alignment vertical="center"/>
    </xf>
    <xf numFmtId="0" fontId="38" fillId="0" borderId="77" applyNumberFormat="0" applyFill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31" fontId="5" fillId="0" borderId="9" xfId="0" applyNumberFormat="1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7" fillId="4" borderId="0" xfId="0" applyNumberFormat="1" applyFont="1" applyFill="1" applyAlignment="1" applyProtection="1">
      <alignment horizontal="center" vertical="center"/>
      <protection locked="0"/>
    </xf>
    <xf numFmtId="0" fontId="8" fillId="4" borderId="0" xfId="0" applyNumberFormat="1" applyFont="1" applyFill="1" applyAlignment="1" applyProtection="1">
      <alignment horizontal="center" vertical="center"/>
      <protection locked="0"/>
    </xf>
    <xf numFmtId="0" fontId="6" fillId="5" borderId="21" xfId="0" applyNumberFormat="1" applyFont="1" applyFill="1" applyBorder="1" applyAlignment="1">
      <alignment horizontal="center" vertical="center"/>
    </xf>
    <xf numFmtId="0" fontId="9" fillId="5" borderId="22" xfId="0" applyNumberFormat="1" applyFont="1" applyFill="1" applyBorder="1" applyAlignment="1">
      <alignment horizontal="center" vertical="center"/>
    </xf>
    <xf numFmtId="0" fontId="9" fillId="5" borderId="23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5" borderId="24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6" fontId="10" fillId="0" borderId="26" xfId="0" applyNumberFormat="1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0" fontId="5" fillId="6" borderId="28" xfId="0" applyNumberFormat="1" applyFont="1" applyFill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6" borderId="31" xfId="0" applyNumberFormat="1" applyFont="1" applyFill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33" xfId="0" applyNumberFormat="1" applyFont="1" applyBorder="1" applyAlignment="1">
      <alignment horizontal="center" vertical="center"/>
    </xf>
    <xf numFmtId="176" fontId="11" fillId="7" borderId="34" xfId="0" applyNumberFormat="1" applyFont="1" applyFill="1" applyBorder="1" applyAlignment="1">
      <alignment horizontal="center" vertical="center"/>
    </xf>
    <xf numFmtId="176" fontId="5" fillId="7" borderId="2" xfId="0" applyNumberFormat="1" applyFont="1" applyFill="1" applyBorder="1" applyAlignment="1">
      <alignment horizontal="center" vertical="center"/>
    </xf>
    <xf numFmtId="176" fontId="5" fillId="7" borderId="35" xfId="0" applyNumberFormat="1" applyFont="1" applyFill="1" applyBorder="1" applyAlignment="1">
      <alignment horizontal="center" vertical="center"/>
    </xf>
    <xf numFmtId="176" fontId="5" fillId="7" borderId="32" xfId="0" applyNumberFormat="1" applyFont="1" applyFill="1" applyBorder="1" applyAlignment="1">
      <alignment horizontal="center" vertical="center"/>
    </xf>
    <xf numFmtId="176" fontId="5" fillId="7" borderId="4" xfId="0" applyNumberFormat="1" applyFont="1" applyFill="1" applyBorder="1" applyAlignment="1">
      <alignment horizontal="center" vertical="center"/>
    </xf>
    <xf numFmtId="176" fontId="5" fillId="7" borderId="3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176" fontId="5" fillId="0" borderId="0" xfId="0" applyNumberFormat="1" applyFont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/>
    </xf>
    <xf numFmtId="0" fontId="5" fillId="6" borderId="36" xfId="0" applyNumberFormat="1" applyFont="1" applyFill="1" applyBorder="1" applyAlignment="1">
      <alignment horizontal="center" vertical="center"/>
    </xf>
    <xf numFmtId="0" fontId="5" fillId="8" borderId="3" xfId="0" applyNumberFormat="1" applyFont="1" applyFill="1" applyBorder="1" applyAlignment="1">
      <alignment horizontal="center" vertical="center"/>
    </xf>
    <xf numFmtId="0" fontId="5" fillId="6" borderId="37" xfId="0" applyNumberFormat="1" applyFont="1" applyFill="1" applyBorder="1" applyAlignment="1">
      <alignment horizontal="center" vertical="center"/>
    </xf>
    <xf numFmtId="0" fontId="10" fillId="6" borderId="37" xfId="0" applyNumberFormat="1" applyFont="1" applyFill="1" applyBorder="1" applyAlignment="1">
      <alignment horizontal="center" vertical="center"/>
    </xf>
    <xf numFmtId="0" fontId="5" fillId="9" borderId="38" xfId="0" applyNumberFormat="1" applyFont="1" applyFill="1" applyBorder="1" applyAlignment="1">
      <alignment horizontal="center" vertical="center"/>
    </xf>
    <xf numFmtId="0" fontId="5" fillId="9" borderId="39" xfId="0" applyNumberFormat="1" applyFont="1" applyFill="1" applyBorder="1" applyAlignment="1">
      <alignment horizontal="center" vertical="center"/>
    </xf>
    <xf numFmtId="0" fontId="5" fillId="9" borderId="40" xfId="0" applyNumberFormat="1" applyFont="1" applyFill="1" applyBorder="1" applyAlignment="1">
      <alignment horizontal="center" vertical="center"/>
    </xf>
    <xf numFmtId="0" fontId="5" fillId="0" borderId="29" xfId="0" applyNumberFormat="1" applyFont="1" applyBorder="1" applyAlignment="1">
      <alignment horizontal="center" vertical="center"/>
    </xf>
    <xf numFmtId="0" fontId="5" fillId="0" borderId="30" xfId="0" applyNumberFormat="1" applyFont="1" applyBorder="1" applyAlignment="1">
      <alignment horizontal="center" vertical="center"/>
    </xf>
    <xf numFmtId="0" fontId="5" fillId="10" borderId="38" xfId="0" applyNumberFormat="1" applyFont="1" applyFill="1" applyBorder="1" applyAlignment="1">
      <alignment horizontal="center" vertical="center"/>
    </xf>
    <xf numFmtId="0" fontId="5" fillId="10" borderId="39" xfId="0" applyNumberFormat="1" applyFont="1" applyFill="1" applyBorder="1" applyAlignment="1">
      <alignment horizontal="center" vertical="center"/>
    </xf>
    <xf numFmtId="0" fontId="5" fillId="10" borderId="40" xfId="0" applyNumberFormat="1" applyFont="1" applyFill="1" applyBorder="1" applyAlignment="1">
      <alignment horizontal="center" vertical="center"/>
    </xf>
    <xf numFmtId="176" fontId="5" fillId="11" borderId="41" xfId="0" applyNumberFormat="1" applyFont="1" applyFill="1" applyBorder="1" applyAlignment="1">
      <alignment horizontal="center" vertical="center"/>
    </xf>
    <xf numFmtId="176" fontId="5" fillId="11" borderId="37" xfId="0" applyNumberFormat="1" applyFont="1" applyFill="1" applyBorder="1" applyAlignment="1">
      <alignment horizontal="center" vertical="center"/>
    </xf>
    <xf numFmtId="176" fontId="5" fillId="11" borderId="42" xfId="0" applyNumberFormat="1" applyFont="1" applyFill="1" applyBorder="1" applyAlignment="1">
      <alignment horizontal="center" vertical="center"/>
    </xf>
    <xf numFmtId="176" fontId="10" fillId="12" borderId="41" xfId="0" applyNumberFormat="1" applyFont="1" applyFill="1" applyBorder="1" applyAlignment="1">
      <alignment horizontal="center" vertical="center"/>
    </xf>
    <xf numFmtId="176" fontId="10" fillId="12" borderId="37" xfId="0" applyNumberFormat="1" applyFont="1" applyFill="1" applyBorder="1" applyAlignment="1">
      <alignment horizontal="center" vertical="center"/>
    </xf>
    <xf numFmtId="176" fontId="10" fillId="12" borderId="42" xfId="0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5" fillId="8" borderId="43" xfId="0" applyNumberFormat="1" applyFont="1" applyFill="1" applyBorder="1" applyAlignment="1">
      <alignment horizontal="center" vertical="center"/>
    </xf>
    <xf numFmtId="176" fontId="10" fillId="11" borderId="41" xfId="0" applyNumberFormat="1" applyFont="1" applyFill="1" applyBorder="1" applyAlignment="1">
      <alignment horizontal="center" vertical="center"/>
    </xf>
    <xf numFmtId="176" fontId="10" fillId="11" borderId="37" xfId="0" applyNumberFormat="1" applyFont="1" applyFill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0" fontId="5" fillId="0" borderId="38" xfId="0" applyNumberFormat="1" applyFont="1" applyBorder="1" applyAlignment="1">
      <alignment horizontal="center" vertical="center"/>
    </xf>
    <xf numFmtId="0" fontId="5" fillId="0" borderId="39" xfId="0" applyNumberFormat="1" applyFont="1" applyBorder="1" applyAlignment="1">
      <alignment horizontal="center" vertical="center"/>
    </xf>
    <xf numFmtId="0" fontId="5" fillId="0" borderId="43" xfId="0" applyNumberFormat="1" applyFont="1" applyBorder="1" applyAlignment="1">
      <alignment horizontal="center" vertical="center" wrapText="1"/>
    </xf>
    <xf numFmtId="0" fontId="5" fillId="0" borderId="42" xfId="0" applyNumberFormat="1" applyFont="1" applyBorder="1" applyAlignment="1">
      <alignment horizontal="center" vertical="center"/>
    </xf>
    <xf numFmtId="176" fontId="5" fillId="10" borderId="38" xfId="0" applyNumberFormat="1" applyFont="1" applyFill="1" applyBorder="1" applyAlignment="1">
      <alignment horizontal="center" vertical="center"/>
    </xf>
    <xf numFmtId="176" fontId="5" fillId="10" borderId="39" xfId="0" applyNumberFormat="1" applyFont="1" applyFill="1" applyBorder="1" applyAlignment="1">
      <alignment horizontal="center" vertical="center"/>
    </xf>
    <xf numFmtId="176" fontId="5" fillId="10" borderId="40" xfId="0" applyNumberFormat="1" applyFont="1" applyFill="1" applyBorder="1" applyAlignment="1">
      <alignment horizontal="center" vertical="center"/>
    </xf>
    <xf numFmtId="0" fontId="5" fillId="0" borderId="37" xfId="0" applyNumberFormat="1" applyFont="1" applyBorder="1" applyAlignment="1">
      <alignment horizontal="center" vertical="center"/>
    </xf>
    <xf numFmtId="0" fontId="5" fillId="13" borderId="41" xfId="0" applyNumberFormat="1" applyFont="1" applyFill="1" applyBorder="1" applyAlignment="1">
      <alignment horizontal="center" vertical="center"/>
    </xf>
    <xf numFmtId="0" fontId="5" fillId="13" borderId="37" xfId="0" applyNumberFormat="1" applyFont="1" applyFill="1" applyBorder="1" applyAlignment="1">
      <alignment horizontal="center" vertical="center"/>
    </xf>
    <xf numFmtId="0" fontId="5" fillId="13" borderId="37" xfId="0" applyNumberFormat="1" applyFont="1" applyFill="1" applyBorder="1" applyAlignment="1">
      <alignment horizontal="center" vertical="center" wrapText="1"/>
    </xf>
    <xf numFmtId="0" fontId="5" fillId="13" borderId="42" xfId="0" applyNumberFormat="1" applyFont="1" applyFill="1" applyBorder="1" applyAlignment="1">
      <alignment horizontal="center" vertical="center"/>
    </xf>
    <xf numFmtId="0" fontId="5" fillId="13" borderId="44" xfId="0" applyNumberFormat="1" applyFont="1" applyFill="1" applyBorder="1" applyAlignment="1">
      <alignment horizontal="center" vertical="center"/>
    </xf>
    <xf numFmtId="0" fontId="5" fillId="13" borderId="45" xfId="0" applyNumberFormat="1" applyFont="1" applyFill="1" applyBorder="1" applyAlignment="1">
      <alignment horizontal="center" vertical="center"/>
    </xf>
    <xf numFmtId="0" fontId="5" fillId="13" borderId="46" xfId="0" applyNumberFormat="1" applyFont="1" applyFill="1" applyBorder="1" applyAlignment="1">
      <alignment horizontal="center" vertical="center"/>
    </xf>
    <xf numFmtId="0" fontId="11" fillId="7" borderId="9" xfId="0" applyNumberFormat="1" applyFont="1" applyFill="1" applyBorder="1" applyAlignment="1">
      <alignment horizontal="center" vertical="center"/>
    </xf>
    <xf numFmtId="0" fontId="5" fillId="7" borderId="10" xfId="0" applyNumberFormat="1" applyFont="1" applyFill="1" applyBorder="1" applyAlignment="1">
      <alignment horizontal="center" vertical="center"/>
    </xf>
    <xf numFmtId="0" fontId="5" fillId="7" borderId="16" xfId="0" applyNumberFormat="1" applyFont="1" applyFill="1" applyBorder="1" applyAlignment="1">
      <alignment horizontal="center" vertical="center"/>
    </xf>
    <xf numFmtId="0" fontId="5" fillId="8" borderId="37" xfId="0" applyNumberFormat="1" applyFont="1" applyFill="1" applyBorder="1" applyAlignment="1">
      <alignment horizontal="center" vertical="center"/>
    </xf>
    <xf numFmtId="0" fontId="5" fillId="7" borderId="12" xfId="0" applyNumberFormat="1" applyFont="1" applyFill="1" applyBorder="1" applyAlignment="1">
      <alignment horizontal="center" vertical="center"/>
    </xf>
    <xf numFmtId="0" fontId="5" fillId="7" borderId="4" xfId="0" applyNumberFormat="1" applyFont="1" applyFill="1" applyBorder="1" applyAlignment="1">
      <alignment horizontal="center" vertical="center"/>
    </xf>
    <xf numFmtId="0" fontId="5" fillId="7" borderId="18" xfId="0" applyNumberFormat="1" applyFont="1" applyFill="1" applyBorder="1" applyAlignment="1">
      <alignment horizontal="center" vertical="center"/>
    </xf>
    <xf numFmtId="0" fontId="5" fillId="6" borderId="3" xfId="0" applyNumberFormat="1" applyFont="1" applyFill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0" fontId="5" fillId="6" borderId="43" xfId="0" applyNumberFormat="1" applyFont="1" applyFill="1" applyBorder="1" applyAlignment="1">
      <alignment horizontal="center" vertical="center"/>
    </xf>
    <xf numFmtId="0" fontId="5" fillId="9" borderId="47" xfId="0" applyNumberFormat="1" applyFont="1" applyFill="1" applyBorder="1" applyAlignment="1">
      <alignment horizontal="center" vertical="center"/>
    </xf>
    <xf numFmtId="0" fontId="5" fillId="9" borderId="48" xfId="0" applyNumberFormat="1" applyFont="1" applyFill="1" applyBorder="1" applyAlignment="1">
      <alignment horizontal="center" vertical="center"/>
    </xf>
    <xf numFmtId="0" fontId="5" fillId="0" borderId="19" xfId="0" applyNumberFormat="1" applyFont="1" applyBorder="1" applyAlignment="1">
      <alignment horizontal="center" vertical="center"/>
    </xf>
    <xf numFmtId="176" fontId="5" fillId="10" borderId="11" xfId="0" applyNumberFormat="1" applyFont="1" applyFill="1" applyBorder="1" applyAlignment="1">
      <alignment horizontal="center" vertical="center"/>
    </xf>
    <xf numFmtId="176" fontId="5" fillId="10" borderId="2" xfId="0" applyNumberFormat="1" applyFont="1" applyFill="1" applyBorder="1" applyAlignment="1">
      <alignment horizontal="center" vertical="center"/>
    </xf>
    <xf numFmtId="176" fontId="5" fillId="10" borderId="17" xfId="0" applyNumberFormat="1" applyFont="1" applyFill="1" applyBorder="1" applyAlignment="1">
      <alignment horizontal="center" vertical="center"/>
    </xf>
    <xf numFmtId="176" fontId="5" fillId="10" borderId="49" xfId="0" applyNumberFormat="1" applyFont="1" applyFill="1" applyBorder="1" applyAlignment="1">
      <alignment horizontal="center" vertical="center" wrapText="1"/>
    </xf>
    <xf numFmtId="176" fontId="5" fillId="10" borderId="37" xfId="0" applyNumberFormat="1" applyFont="1" applyFill="1" applyBorder="1" applyAlignment="1">
      <alignment horizontal="center" vertical="center"/>
    </xf>
    <xf numFmtId="176" fontId="5" fillId="10" borderId="50" xfId="0" applyNumberFormat="1" applyFont="1" applyFill="1" applyBorder="1" applyAlignment="1">
      <alignment horizontal="center" vertical="center"/>
    </xf>
    <xf numFmtId="176" fontId="5" fillId="10" borderId="12" xfId="0" applyNumberFormat="1" applyFont="1" applyFill="1" applyBorder="1" applyAlignment="1">
      <alignment horizontal="center" vertical="center"/>
    </xf>
    <xf numFmtId="176" fontId="5" fillId="10" borderId="4" xfId="0" applyNumberFormat="1" applyFont="1" applyFill="1" applyBorder="1" applyAlignment="1">
      <alignment horizontal="center" vertical="center"/>
    </xf>
    <xf numFmtId="176" fontId="5" fillId="10" borderId="18" xfId="0" applyNumberFormat="1" applyFont="1" applyFill="1" applyBorder="1" applyAlignment="1">
      <alignment horizontal="center" vertical="center"/>
    </xf>
    <xf numFmtId="176" fontId="5" fillId="11" borderId="49" xfId="0" applyNumberFormat="1" applyFont="1" applyFill="1" applyBorder="1" applyAlignment="1">
      <alignment horizontal="center" vertical="center"/>
    </xf>
    <xf numFmtId="176" fontId="5" fillId="11" borderId="50" xfId="0" applyNumberFormat="1" applyFont="1" applyFill="1" applyBorder="1" applyAlignment="1">
      <alignment horizontal="center" vertical="center"/>
    </xf>
    <xf numFmtId="176" fontId="5" fillId="12" borderId="49" xfId="0" applyNumberFormat="1" applyFont="1" applyFill="1" applyBorder="1" applyAlignment="1">
      <alignment horizontal="center" vertical="center"/>
    </xf>
    <xf numFmtId="176" fontId="5" fillId="12" borderId="37" xfId="0" applyNumberFormat="1" applyFont="1" applyFill="1" applyBorder="1" applyAlignment="1">
      <alignment horizontal="center" vertical="center"/>
    </xf>
    <xf numFmtId="176" fontId="5" fillId="12" borderId="50" xfId="0" applyNumberFormat="1" applyFont="1" applyFill="1" applyBorder="1" applyAlignment="1">
      <alignment horizontal="center" vertical="center"/>
    </xf>
    <xf numFmtId="176" fontId="10" fillId="12" borderId="49" xfId="0" applyNumberFormat="1" applyFont="1" applyFill="1" applyBorder="1" applyAlignment="1">
      <alignment horizontal="center" vertical="center"/>
    </xf>
    <xf numFmtId="176" fontId="10" fillId="12" borderId="50" xfId="0" applyNumberFormat="1" applyFont="1" applyFill="1" applyBorder="1" applyAlignment="1">
      <alignment horizontal="center" vertical="center"/>
    </xf>
    <xf numFmtId="0" fontId="6" fillId="5" borderId="51" xfId="0" applyNumberFormat="1" applyFont="1" applyFill="1" applyBorder="1" applyAlignment="1">
      <alignment horizontal="center" vertical="center"/>
    </xf>
    <xf numFmtId="0" fontId="6" fillId="5" borderId="52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4" fillId="14" borderId="21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top"/>
    </xf>
    <xf numFmtId="0" fontId="13" fillId="0" borderId="0" xfId="0" applyNumberFormat="1" applyFont="1" applyBorder="1" applyAlignment="1">
      <alignment horizontal="center" vertical="center"/>
    </xf>
    <xf numFmtId="0" fontId="5" fillId="9" borderId="43" xfId="0" applyNumberFormat="1" applyFont="1" applyFill="1" applyBorder="1" applyAlignment="1">
      <alignment horizontal="center" vertical="center"/>
    </xf>
    <xf numFmtId="0" fontId="5" fillId="9" borderId="37" xfId="0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31" xfId="0" applyNumberFormat="1" applyFont="1" applyBorder="1" applyAlignment="1" applyProtection="1">
      <alignment horizontal="center" vertical="center"/>
      <protection locked="0"/>
    </xf>
    <xf numFmtId="0" fontId="5" fillId="9" borderId="53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 applyProtection="1">
      <alignment horizontal="center" vertical="center"/>
      <protection locked="0"/>
    </xf>
    <xf numFmtId="0" fontId="12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5" fillId="8" borderId="2" xfId="0" applyNumberFormat="1" applyFont="1" applyFill="1" applyBorder="1" applyAlignment="1">
      <alignment horizontal="center" vertical="center"/>
    </xf>
    <xf numFmtId="0" fontId="5" fillId="8" borderId="6" xfId="0" applyNumberFormat="1" applyFont="1" applyFill="1" applyBorder="1" applyAlignment="1">
      <alignment horizontal="center" vertical="center"/>
    </xf>
    <xf numFmtId="0" fontId="14" fillId="15" borderId="54" xfId="0" applyNumberFormat="1" applyFont="1" applyFill="1" applyBorder="1" applyAlignment="1">
      <alignment horizontal="center" vertical="center"/>
    </xf>
    <xf numFmtId="0" fontId="5" fillId="9" borderId="36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16" fillId="15" borderId="49" xfId="0" applyNumberFormat="1" applyFont="1" applyFill="1" applyBorder="1" applyAlignment="1">
      <alignment horizontal="center" vertical="center"/>
    </xf>
    <xf numFmtId="0" fontId="5" fillId="0" borderId="36" xfId="0" applyNumberFormat="1" applyFont="1" applyBorder="1" applyAlignment="1" applyProtection="1">
      <alignment horizontal="center" vertical="center"/>
      <protection locked="0"/>
    </xf>
    <xf numFmtId="0" fontId="5" fillId="16" borderId="11" xfId="0" applyNumberFormat="1" applyFont="1" applyFill="1" applyBorder="1" applyAlignment="1">
      <alignment horizontal="center" vertical="top" wrapText="1"/>
    </xf>
    <xf numFmtId="0" fontId="5" fillId="8" borderId="4" xfId="0" applyNumberFormat="1" applyFont="1" applyFill="1" applyBorder="1" applyAlignment="1">
      <alignment horizontal="center" vertical="center"/>
    </xf>
    <xf numFmtId="0" fontId="5" fillId="8" borderId="7" xfId="0" applyNumberFormat="1" applyFont="1" applyFill="1" applyBorder="1" applyAlignment="1">
      <alignment horizontal="center" vertical="center"/>
    </xf>
    <xf numFmtId="0" fontId="5" fillId="16" borderId="13" xfId="0" applyNumberFormat="1" applyFont="1" applyFill="1" applyBorder="1" applyAlignment="1">
      <alignment horizontal="center" vertical="top" wrapText="1"/>
    </xf>
    <xf numFmtId="0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10" fillId="0" borderId="0" xfId="0" applyNumberFormat="1" applyFont="1" applyAlignment="1" applyProtection="1">
      <alignment horizontal="center" vertical="center"/>
      <protection locked="0"/>
    </xf>
    <xf numFmtId="0" fontId="10" fillId="0" borderId="8" xfId="0" applyNumberFormat="1" applyFont="1" applyBorder="1" applyAlignment="1" applyProtection="1">
      <alignment horizontal="center" vertical="center"/>
      <protection locked="0"/>
    </xf>
    <xf numFmtId="0" fontId="5" fillId="0" borderId="8" xfId="0" applyNumberFormat="1" applyFont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Alignment="1" applyProtection="1">
      <alignment horizontal="center" vertical="center"/>
      <protection locked="0"/>
    </xf>
    <xf numFmtId="0" fontId="10" fillId="0" borderId="8" xfId="0" applyNumberFormat="1" applyFont="1" applyFill="1" applyBorder="1" applyAlignment="1" applyProtection="1">
      <alignment horizontal="center" vertical="center"/>
      <protection locked="0"/>
    </xf>
    <xf numFmtId="0" fontId="5" fillId="16" borderId="14" xfId="0" applyNumberFormat="1" applyFont="1" applyFill="1" applyBorder="1" applyAlignment="1">
      <alignment horizontal="center" vertical="top" wrapText="1"/>
    </xf>
    <xf numFmtId="0" fontId="5" fillId="6" borderId="2" xfId="0" applyNumberFormat="1" applyFont="1" applyFill="1" applyBorder="1" applyAlignment="1">
      <alignment horizontal="center" vertical="center"/>
    </xf>
    <xf numFmtId="0" fontId="16" fillId="0" borderId="37" xfId="0" applyNumberFormat="1" applyFont="1" applyBorder="1" applyAlignment="1" applyProtection="1">
      <alignment horizontal="center" vertical="center"/>
      <protection locked="0"/>
    </xf>
    <xf numFmtId="0" fontId="5" fillId="8" borderId="39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 applyProtection="1">
      <alignment horizontal="center" vertical="center"/>
      <protection locked="0"/>
    </xf>
    <xf numFmtId="0" fontId="17" fillId="9" borderId="9" xfId="0" applyNumberFormat="1" applyFont="1" applyFill="1" applyBorder="1" applyAlignment="1">
      <alignment horizontal="center" vertical="center" wrapText="1"/>
    </xf>
    <xf numFmtId="0" fontId="5" fillId="9" borderId="13" xfId="0" applyNumberFormat="1" applyFont="1" applyFill="1" applyBorder="1" applyAlignment="1">
      <alignment horizontal="center" vertical="center"/>
    </xf>
    <xf numFmtId="0" fontId="16" fillId="0" borderId="43" xfId="0" applyNumberFormat="1" applyFont="1" applyBorder="1" applyAlignment="1" applyProtection="1">
      <alignment horizontal="center" vertical="center"/>
      <protection locked="0"/>
    </xf>
    <xf numFmtId="0" fontId="16" fillId="0" borderId="53" xfId="0" applyNumberFormat="1" applyFont="1" applyBorder="1" applyAlignment="1" applyProtection="1">
      <alignment horizontal="center" vertical="center"/>
      <protection locked="0"/>
    </xf>
    <xf numFmtId="0" fontId="18" fillId="17" borderId="9" xfId="0" applyNumberFormat="1" applyFont="1" applyFill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5" fillId="9" borderId="55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0" fontId="19" fillId="8" borderId="39" xfId="0" applyNumberFormat="1" applyFont="1" applyFill="1" applyBorder="1" applyAlignment="1">
      <alignment horizontal="center" vertical="center"/>
    </xf>
    <xf numFmtId="0" fontId="19" fillId="8" borderId="53" xfId="0" applyNumberFormat="1" applyFont="1" applyFill="1" applyBorder="1" applyAlignment="1">
      <alignment horizontal="center" vertical="center"/>
    </xf>
    <xf numFmtId="0" fontId="16" fillId="0" borderId="39" xfId="0" applyNumberFormat="1" applyFont="1" applyBorder="1" applyAlignment="1" applyProtection="1">
      <alignment horizontal="center" vertical="center"/>
      <protection locked="0"/>
    </xf>
    <xf numFmtId="0" fontId="4" fillId="14" borderId="23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16" fillId="15" borderId="56" xfId="0" applyNumberFormat="1" applyFont="1" applyFill="1" applyBorder="1" applyAlignment="1">
      <alignment horizontal="center" vertical="center"/>
    </xf>
    <xf numFmtId="0" fontId="5" fillId="18" borderId="57" xfId="0" applyNumberFormat="1" applyFont="1" applyFill="1" applyBorder="1" applyAlignment="1">
      <alignment horizontal="center" vertical="center"/>
    </xf>
    <xf numFmtId="0" fontId="5" fillId="18" borderId="58" xfId="0" applyNumberFormat="1" applyFont="1" applyFill="1" applyBorder="1" applyAlignment="1">
      <alignment horizontal="center" vertical="center"/>
    </xf>
    <xf numFmtId="0" fontId="5" fillId="18" borderId="59" xfId="0" applyNumberFormat="1" applyFont="1" applyFill="1" applyBorder="1" applyAlignment="1">
      <alignment horizontal="center" vertical="center"/>
    </xf>
    <xf numFmtId="0" fontId="16" fillId="15" borderId="37" xfId="0" applyNumberFormat="1" applyFont="1" applyFill="1" applyBorder="1" applyAlignment="1">
      <alignment horizontal="center" vertical="center"/>
    </xf>
    <xf numFmtId="0" fontId="5" fillId="18" borderId="43" xfId="0" applyNumberFormat="1" applyFont="1" applyFill="1" applyBorder="1" applyAlignment="1">
      <alignment horizontal="center" vertical="center"/>
    </xf>
    <xf numFmtId="0" fontId="5" fillId="18" borderId="53" xfId="0" applyNumberFormat="1" applyFont="1" applyFill="1" applyBorder="1" applyAlignment="1">
      <alignment horizontal="center" vertical="center"/>
    </xf>
    <xf numFmtId="0" fontId="5" fillId="18" borderId="50" xfId="0" applyNumberFormat="1" applyFont="1" applyFill="1" applyBorder="1" applyAlignment="1">
      <alignment horizontal="center" vertical="center" wrapText="1"/>
    </xf>
    <xf numFmtId="0" fontId="5" fillId="16" borderId="2" xfId="0" applyNumberFormat="1" applyFont="1" applyFill="1" applyBorder="1" applyAlignment="1">
      <alignment horizontal="center" vertical="top" wrapText="1"/>
    </xf>
    <xf numFmtId="0" fontId="5" fillId="16" borderId="17" xfId="0" applyNumberFormat="1" applyFont="1" applyFill="1" applyBorder="1" applyAlignment="1">
      <alignment horizontal="center" vertical="top" wrapText="1"/>
    </xf>
    <xf numFmtId="0" fontId="5" fillId="16" borderId="0" xfId="0" applyNumberFormat="1" applyFont="1" applyFill="1" applyAlignment="1">
      <alignment horizontal="center" vertical="top" wrapText="1"/>
    </xf>
    <xf numFmtId="0" fontId="5" fillId="16" borderId="19" xfId="0" applyNumberFormat="1" applyFont="1" applyFill="1" applyBorder="1" applyAlignment="1">
      <alignment horizontal="center" vertical="top" wrapText="1"/>
    </xf>
    <xf numFmtId="0" fontId="5" fillId="16" borderId="15" xfId="0" applyNumberFormat="1" applyFont="1" applyFill="1" applyBorder="1" applyAlignment="1">
      <alignment horizontal="center" vertical="top" wrapText="1"/>
    </xf>
    <xf numFmtId="0" fontId="5" fillId="16" borderId="20" xfId="0" applyNumberFormat="1" applyFont="1" applyFill="1" applyBorder="1" applyAlignment="1">
      <alignment horizontal="center" vertical="top" wrapText="1"/>
    </xf>
    <xf numFmtId="0" fontId="5" fillId="9" borderId="10" xfId="0" applyNumberFormat="1" applyFont="1" applyFill="1" applyBorder="1" applyAlignment="1">
      <alignment horizontal="center" vertical="center"/>
    </xf>
    <xf numFmtId="0" fontId="5" fillId="19" borderId="56" xfId="0" applyNumberFormat="1" applyFont="1" applyFill="1" applyBorder="1" applyAlignment="1">
      <alignment horizontal="center" vertical="center"/>
    </xf>
    <xf numFmtId="0" fontId="5" fillId="19" borderId="59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Alignment="1">
      <alignment horizontal="center" vertical="center"/>
    </xf>
    <xf numFmtId="0" fontId="5" fillId="19" borderId="37" xfId="0" applyNumberFormat="1" applyFont="1" applyFill="1" applyBorder="1" applyAlignment="1">
      <alignment horizontal="center" vertical="center" wrapText="1"/>
    </xf>
    <xf numFmtId="0" fontId="5" fillId="19" borderId="50" xfId="0" applyNumberFormat="1" applyFont="1" applyFill="1" applyBorder="1" applyAlignment="1">
      <alignment horizontal="center" vertical="center" wrapText="1"/>
    </xf>
    <xf numFmtId="0" fontId="5" fillId="19" borderId="28" xfId="0" applyNumberFormat="1" applyFont="1" applyFill="1" applyBorder="1" applyAlignment="1">
      <alignment horizontal="center" vertical="center" wrapText="1"/>
    </xf>
    <xf numFmtId="0" fontId="5" fillId="19" borderId="60" xfId="0" applyNumberFormat="1" applyFont="1" applyFill="1" applyBorder="1" applyAlignment="1">
      <alignment horizontal="center" vertical="center" wrapText="1"/>
    </xf>
    <xf numFmtId="0" fontId="18" fillId="17" borderId="10" xfId="0" applyNumberFormat="1" applyFont="1" applyFill="1" applyBorder="1" applyAlignment="1">
      <alignment horizontal="center" vertical="center"/>
    </xf>
    <xf numFmtId="0" fontId="18" fillId="17" borderId="16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0" fontId="5" fillId="0" borderId="20" xfId="0" applyNumberFormat="1" applyFont="1" applyBorder="1" applyAlignment="1">
      <alignment horizontal="center" vertical="center" wrapText="1"/>
    </xf>
    <xf numFmtId="0" fontId="18" fillId="4" borderId="0" xfId="0" applyNumberFormat="1" applyFont="1" applyFill="1" applyAlignment="1">
      <alignment horizontal="center" vertical="center" wrapText="1"/>
    </xf>
    <xf numFmtId="0" fontId="18" fillId="4" borderId="19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/>
    </xf>
    <xf numFmtId="0" fontId="5" fillId="0" borderId="20" xfId="0" applyNumberFormat="1" applyFont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176" fontId="10" fillId="11" borderId="50" xfId="0" applyNumberFormat="1" applyFont="1" applyFill="1" applyBorder="1" applyAlignment="1">
      <alignment horizontal="center" vertical="center"/>
    </xf>
    <xf numFmtId="0" fontId="5" fillId="0" borderId="47" xfId="0" applyNumberFormat="1" applyFont="1" applyBorder="1" applyAlignment="1">
      <alignment horizontal="center" vertical="center"/>
    </xf>
    <xf numFmtId="0" fontId="5" fillId="0" borderId="50" xfId="0" applyNumberFormat="1" applyFont="1" applyBorder="1" applyAlignment="1">
      <alignment horizontal="center" vertical="center"/>
    </xf>
    <xf numFmtId="176" fontId="5" fillId="10" borderId="47" xfId="0" applyNumberFormat="1" applyFont="1" applyFill="1" applyBorder="1" applyAlignment="1">
      <alignment horizontal="center" vertical="center"/>
    </xf>
    <xf numFmtId="176" fontId="5" fillId="10" borderId="48" xfId="0" applyNumberFormat="1" applyFont="1" applyFill="1" applyBorder="1" applyAlignment="1">
      <alignment horizontal="center" vertical="center"/>
    </xf>
    <xf numFmtId="176" fontId="5" fillId="10" borderId="49" xfId="0" applyNumberFormat="1" applyFont="1" applyFill="1" applyBorder="1" applyAlignment="1">
      <alignment horizontal="center" vertical="center"/>
    </xf>
    <xf numFmtId="0" fontId="5" fillId="0" borderId="37" xfId="0" applyNumberFormat="1" applyFont="1" applyBorder="1" applyAlignment="1">
      <alignment horizontal="center" vertical="center" wrapText="1"/>
    </xf>
    <xf numFmtId="0" fontId="5" fillId="0" borderId="50" xfId="0" applyNumberFormat="1" applyFont="1" applyBorder="1" applyAlignment="1">
      <alignment horizontal="center" vertical="center" wrapText="1"/>
    </xf>
    <xf numFmtId="0" fontId="5" fillId="13" borderId="49" xfId="0" applyNumberFormat="1" applyFont="1" applyFill="1" applyBorder="1" applyAlignment="1">
      <alignment horizontal="center" vertical="center"/>
    </xf>
    <xf numFmtId="0" fontId="5" fillId="13" borderId="50" xfId="0" applyNumberFormat="1" applyFont="1" applyFill="1" applyBorder="1" applyAlignment="1">
      <alignment horizontal="center" vertical="center"/>
    </xf>
    <xf numFmtId="0" fontId="20" fillId="7" borderId="54" xfId="0" applyNumberFormat="1" applyFont="1" applyFill="1" applyBorder="1" applyAlignment="1">
      <alignment horizontal="center" vertical="center"/>
    </xf>
    <xf numFmtId="0" fontId="4" fillId="7" borderId="56" xfId="0" applyNumberFormat="1" applyFont="1" applyFill="1" applyBorder="1" applyAlignment="1">
      <alignment horizontal="center" vertical="center"/>
    </xf>
    <xf numFmtId="0" fontId="4" fillId="7" borderId="5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>
      <alignment vertical="center"/>
    </xf>
    <xf numFmtId="0" fontId="4" fillId="7" borderId="49" xfId="0" applyNumberFormat="1" applyFont="1" applyFill="1" applyBorder="1" applyAlignment="1">
      <alignment horizontal="center" vertical="center"/>
    </xf>
    <xf numFmtId="0" fontId="4" fillId="7" borderId="37" xfId="0" applyNumberFormat="1" applyFont="1" applyFill="1" applyBorder="1" applyAlignment="1">
      <alignment horizontal="center" vertical="center"/>
    </xf>
    <xf numFmtId="0" fontId="4" fillId="7" borderId="50" xfId="0" applyNumberFormat="1" applyFont="1" applyFill="1" applyBorder="1" applyAlignment="1">
      <alignment horizontal="center" vertical="center"/>
    </xf>
    <xf numFmtId="176" fontId="5" fillId="10" borderId="61" xfId="0" applyNumberFormat="1" applyFont="1" applyFill="1" applyBorder="1" applyAlignment="1">
      <alignment horizontal="center" vertical="center"/>
    </xf>
    <xf numFmtId="176" fontId="5" fillId="10" borderId="62" xfId="0" applyNumberFormat="1" applyFont="1" applyFill="1" applyBorder="1" applyAlignment="1">
      <alignment horizontal="center" vertical="center"/>
    </xf>
    <xf numFmtId="176" fontId="5" fillId="10" borderId="0" xfId="0" applyNumberFormat="1" applyFont="1" applyFill="1" applyBorder="1" applyAlignment="1">
      <alignment horizontal="center" vertical="center"/>
    </xf>
    <xf numFmtId="176" fontId="5" fillId="10" borderId="19" xfId="0" applyNumberFormat="1" applyFont="1" applyFill="1" applyBorder="1" applyAlignment="1">
      <alignment horizontal="center" vertical="center"/>
    </xf>
    <xf numFmtId="176" fontId="5" fillId="10" borderId="13" xfId="0" applyNumberFormat="1" applyFont="1" applyFill="1" applyBorder="1" applyAlignment="1">
      <alignment horizontal="center" vertical="center"/>
    </xf>
    <xf numFmtId="176" fontId="5" fillId="10" borderId="63" xfId="0" applyNumberFormat="1" applyFont="1" applyFill="1" applyBorder="1" applyAlignment="1">
      <alignment horizontal="center" vertical="center"/>
    </xf>
    <xf numFmtId="0" fontId="5" fillId="8" borderId="53" xfId="0" applyNumberFormat="1" applyFont="1" applyFill="1" applyBorder="1" applyAlignment="1">
      <alignment horizontal="center" vertical="center"/>
    </xf>
    <xf numFmtId="0" fontId="5" fillId="6" borderId="39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/>
    </xf>
    <xf numFmtId="0" fontId="5" fillId="9" borderId="2" xfId="0" applyNumberFormat="1" applyFont="1" applyFill="1" applyBorder="1" applyAlignment="1">
      <alignment horizontal="center" vertical="center"/>
    </xf>
    <xf numFmtId="0" fontId="5" fillId="9" borderId="6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13" borderId="64" xfId="0" applyNumberFormat="1" applyFont="1" applyFill="1" applyBorder="1" applyAlignment="1">
      <alignment horizontal="center" vertical="center"/>
    </xf>
    <xf numFmtId="0" fontId="5" fillId="13" borderId="31" xfId="0" applyNumberFormat="1" applyFont="1" applyFill="1" applyBorder="1" applyAlignment="1">
      <alignment horizontal="center" vertical="center"/>
    </xf>
    <xf numFmtId="0" fontId="5" fillId="13" borderId="31" xfId="0" applyNumberFormat="1" applyFont="1" applyFill="1" applyBorder="1" applyAlignment="1">
      <alignment horizontal="center" vertical="center" wrapText="1"/>
    </xf>
    <xf numFmtId="0" fontId="5" fillId="13" borderId="65" xfId="0" applyNumberFormat="1" applyFont="1" applyFill="1" applyBorder="1" applyAlignment="1">
      <alignment horizontal="center" vertical="center"/>
    </xf>
    <xf numFmtId="0" fontId="5" fillId="13" borderId="66" xfId="0" applyNumberFormat="1" applyFont="1" applyFill="1" applyBorder="1" applyAlignment="1">
      <alignment horizontal="center" vertical="center"/>
    </xf>
    <xf numFmtId="0" fontId="5" fillId="13" borderId="28" xfId="0" applyNumberFormat="1" applyFont="1" applyFill="1" applyBorder="1" applyAlignment="1">
      <alignment horizontal="center" vertical="center"/>
    </xf>
    <xf numFmtId="0" fontId="5" fillId="13" borderId="60" xfId="0" applyNumberFormat="1" applyFont="1" applyFill="1" applyBorder="1" applyAlignment="1">
      <alignment horizontal="center" vertical="center"/>
    </xf>
    <xf numFmtId="0" fontId="10" fillId="6" borderId="49" xfId="0" applyNumberFormat="1" applyFont="1" applyFill="1" applyBorder="1" applyAlignment="1">
      <alignment horizontal="center" vertical="center"/>
    </xf>
    <xf numFmtId="0" fontId="10" fillId="6" borderId="37" xfId="0" applyNumberFormat="1" applyFont="1" applyFill="1" applyBorder="1" applyAlignment="1">
      <alignment horizontal="center" vertical="center" wrapText="1"/>
    </xf>
    <xf numFmtId="0" fontId="10" fillId="6" borderId="50" xfId="0" applyNumberFormat="1" applyFont="1" applyFill="1" applyBorder="1" applyAlignment="1">
      <alignment horizontal="center" vertical="center"/>
    </xf>
    <xf numFmtId="0" fontId="10" fillId="6" borderId="67" xfId="0" applyNumberFormat="1" applyFont="1" applyFill="1" applyBorder="1" applyAlignment="1">
      <alignment horizontal="center" vertical="center"/>
    </xf>
    <xf numFmtId="0" fontId="10" fillId="6" borderId="68" xfId="0" applyNumberFormat="1" applyFont="1" applyFill="1" applyBorder="1" applyAlignment="1">
      <alignment horizontal="center" vertical="center"/>
    </xf>
    <xf numFmtId="0" fontId="10" fillId="6" borderId="69" xfId="0" applyNumberFormat="1" applyFont="1" applyFill="1" applyBorder="1" applyAlignment="1">
      <alignment horizontal="center" vertical="center"/>
    </xf>
    <xf numFmtId="0" fontId="20" fillId="7" borderId="9" xfId="0" applyNumberFormat="1" applyFont="1" applyFill="1" applyBorder="1" applyAlignment="1">
      <alignment horizontal="center" vertical="center"/>
    </xf>
    <xf numFmtId="0" fontId="21" fillId="7" borderId="10" xfId="0" applyNumberFormat="1" applyFont="1" applyFill="1" applyBorder="1" applyAlignment="1">
      <alignment horizontal="center" vertical="center"/>
    </xf>
    <xf numFmtId="0" fontId="21" fillId="7" borderId="16" xfId="0" applyNumberFormat="1" applyFont="1" applyFill="1" applyBorder="1" applyAlignment="1">
      <alignment horizontal="center" vertical="center"/>
    </xf>
    <xf numFmtId="0" fontId="21" fillId="7" borderId="12" xfId="0" applyNumberFormat="1" applyFont="1" applyFill="1" applyBorder="1" applyAlignment="1">
      <alignment horizontal="center" vertical="center"/>
    </xf>
    <xf numFmtId="0" fontId="21" fillId="7" borderId="4" xfId="0" applyNumberFormat="1" applyFont="1" applyFill="1" applyBorder="1" applyAlignment="1">
      <alignment horizontal="center" vertical="center"/>
    </xf>
    <xf numFmtId="0" fontId="21" fillId="7" borderId="18" xfId="0" applyNumberFormat="1" applyFont="1" applyFill="1" applyBorder="1" applyAlignment="1">
      <alignment horizontal="center" vertical="center"/>
    </xf>
    <xf numFmtId="0" fontId="5" fillId="6" borderId="5" xfId="0" applyNumberFormat="1" applyFont="1" applyFill="1" applyBorder="1" applyAlignment="1">
      <alignment horizontal="center" vertical="center"/>
    </xf>
    <xf numFmtId="0" fontId="5" fillId="8" borderId="43" xfId="0" applyNumberFormat="1" applyFont="1" applyFill="1" applyBorder="1" applyAlignment="1" applyProtection="1">
      <alignment horizontal="center" vertical="center"/>
      <protection locked="0"/>
    </xf>
    <xf numFmtId="176" fontId="22" fillId="12" borderId="37" xfId="0" applyNumberFormat="1" applyFont="1" applyFill="1" applyBorder="1" applyAlignment="1">
      <alignment horizontal="center" vertical="center"/>
    </xf>
    <xf numFmtId="0" fontId="23" fillId="0" borderId="0" xfId="0" applyNumberFormat="1" applyFont="1">
      <alignment vertical="center"/>
    </xf>
    <xf numFmtId="0" fontId="4" fillId="6" borderId="37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>
      <alignment vertical="center"/>
    </xf>
    <xf numFmtId="0" fontId="5" fillId="0" borderId="1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28" xfId="0" applyNumberFormat="1" applyFont="1" applyBorder="1" applyAlignment="1">
      <alignment horizontal="center" vertical="center"/>
    </xf>
    <xf numFmtId="0" fontId="5" fillId="0" borderId="60" xfId="0" applyNumberFormat="1" applyFont="1" applyBorder="1" applyAlignment="1">
      <alignment horizontal="center" vertical="center"/>
    </xf>
    <xf numFmtId="0" fontId="10" fillId="6" borderId="64" xfId="0" applyNumberFormat="1" applyFont="1" applyFill="1" applyBorder="1" applyAlignment="1">
      <alignment horizontal="center" vertical="center"/>
    </xf>
    <xf numFmtId="0" fontId="10" fillId="6" borderId="31" xfId="0" applyNumberFormat="1" applyFont="1" applyFill="1" applyBorder="1" applyAlignment="1">
      <alignment horizontal="center" vertical="center"/>
    </xf>
    <xf numFmtId="0" fontId="10" fillId="6" borderId="31" xfId="0" applyNumberFormat="1" applyFont="1" applyFill="1" applyBorder="1" applyAlignment="1">
      <alignment horizontal="center" vertical="center" wrapText="1"/>
    </xf>
    <xf numFmtId="0" fontId="10" fillId="6" borderId="65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/>
    </xf>
    <xf numFmtId="0" fontId="5" fillId="9" borderId="8" xfId="0" applyNumberFormat="1" applyFont="1" applyFill="1" applyBorder="1" applyAlignment="1">
      <alignment horizontal="center" vertical="center"/>
    </xf>
    <xf numFmtId="0" fontId="5" fillId="0" borderId="31" xfId="0" applyNumberFormat="1" applyFont="1" applyBorder="1" applyAlignment="1">
      <alignment horizontal="center" vertical="center"/>
    </xf>
    <xf numFmtId="0" fontId="5" fillId="8" borderId="4" xfId="0" applyNumberFormat="1" applyFont="1" applyFill="1" applyBorder="1" applyAlignment="1" applyProtection="1">
      <alignment horizontal="center" vertical="center"/>
      <protection locked="0"/>
    </xf>
    <xf numFmtId="0" fontId="5" fillId="8" borderId="39" xfId="0" applyNumberFormat="1" applyFont="1" applyFill="1" applyBorder="1" applyAlignment="1" applyProtection="1">
      <alignment horizontal="center" vertical="center"/>
      <protection locked="0"/>
    </xf>
    <xf numFmtId="0" fontId="5" fillId="8" borderId="53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5" xfId="0" applyNumberFormat="1" applyFont="1" applyBorder="1" applyAlignment="1" applyProtection="1">
      <alignment horizontal="center" vertical="center"/>
      <protection locked="0"/>
    </xf>
    <xf numFmtId="0" fontId="10" fillId="0" borderId="5" xfId="0" applyNumberFormat="1" applyFont="1" applyBorder="1" applyAlignment="1" applyProtection="1">
      <alignment horizontal="center" vertical="center"/>
      <protection locked="0"/>
    </xf>
    <xf numFmtId="0" fontId="5" fillId="0" borderId="0" xfId="0" applyNumberFormat="1" applyFont="1">
      <alignment vertical="center"/>
    </xf>
    <xf numFmtId="176" fontId="5" fillId="10" borderId="53" xfId="0" applyNumberFormat="1" applyFont="1" applyFill="1" applyBorder="1" applyAlignment="1">
      <alignment horizontal="center" vertical="center"/>
    </xf>
    <xf numFmtId="176" fontId="5" fillId="10" borderId="43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name val="等线"/>
        <scheme val="none"/>
      </font>
      <alignment horizontal="center"/>
    </dxf>
    <dxf>
      <font>
        <name val="等线"/>
        <scheme val="none"/>
      </font>
      <alignment horizontal="center"/>
    </dxf>
    <dxf>
      <font>
        <name val="等线"/>
        <scheme val="none"/>
      </font>
      <alignment horizontal="center"/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3" defaultTableStyle="TableStylePreset3_Accent1 1" defaultPivotStyle="PivotStylePreset2_Accent1 1">
    <tableStyle name="TableStylePreset3_Accent1 1" pivot="0" count="7" xr9:uid="{634B2337-70CC-4D12-8C85-ABC1EE6B75F8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 1" table="0" count="10" xr9:uid="{325F5CD5-022E-4D02-9BB4-F44BBCAC87EB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tblRules" pivot="0" count="0" xr9:uid="{3CFFFC49-2FF8-4811-94B7-69E69330F62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www.wps.cn/officeDocument/2020/cellImage" Target="cellimag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312420</xdr:colOff>
      <xdr:row>1</xdr:row>
      <xdr:rowOff>139700</xdr:rowOff>
    </xdr:to>
    <xdr:pic>
      <xdr:nvPicPr>
        <xdr:cNvPr id="2" name="ID_DA4312AC85894956AA7CDE06ED97B8C4" descr=" "/>
        <xdr:cNvPicPr/>
      </xdr:nvPicPr>
      <xdr:blipFill>
        <a:blip r:embed="rId1"/>
        <a:srcRect/>
        <a:stretch>
          <a:fillRect/>
        </a:stretch>
      </xdr:blipFill>
      <xdr:spPr>
        <a:xfrm>
          <a:off x="9801225" y="229235"/>
          <a:ext cx="998220" cy="3111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id="3" name="tblRules" displayName="tblRules" ref="A1:C6" totalsRowShown="0">
  <autoFilter xmlns:etc="http://www.wps.cn/officeDocument/2017/etCustomData" ref="A1:C6" etc:filterBottomFollowUsedRange="0"/>
  <tableColumns count="3">
    <tableColumn id="1" name="结果" dataDxfId="1"/>
    <tableColumn id="2" name="求生者得分" dataDxfId="2"/>
    <tableColumn id="3" name="监管者得分" dataDxfId="3"/>
  </tableColumns>
  <tableStyleInfo name="TableStylePreset3_Accent1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207"/>
  <sheetViews>
    <sheetView workbookViewId="0">
      <selection activeCell="H140" sqref="H140"/>
    </sheetView>
  </sheetViews>
  <sheetFormatPr defaultColWidth="9" defaultRowHeight="14.25"/>
  <cols>
    <col min="1" max="16384" width="9" style="56"/>
  </cols>
  <sheetData>
    <row r="1" ht="22.5" customHeight="1" spans="2:5">
      <c r="B1" s="57" t="s">
        <v>0</v>
      </c>
      <c r="C1" s="58"/>
      <c r="D1" s="58"/>
      <c r="E1" s="58"/>
    </row>
    <row r="2" ht="22.5" customHeight="1" spans="2:5">
      <c r="B2" s="58"/>
      <c r="C2" s="58"/>
      <c r="D2" s="58"/>
      <c r="E2" s="58"/>
    </row>
    <row r="4" ht="62" customHeight="1" spans="2:20">
      <c r="B4" s="59" t="s">
        <v>1</v>
      </c>
      <c r="C4" s="60"/>
      <c r="D4" s="60"/>
      <c r="E4" s="61"/>
      <c r="F4" s="62"/>
      <c r="G4" s="62"/>
      <c r="H4" s="63" t="s">
        <v>2</v>
      </c>
      <c r="I4" s="155"/>
      <c r="J4" s="155"/>
      <c r="K4" s="156"/>
      <c r="L4" s="62"/>
      <c r="M4" s="62"/>
      <c r="N4" s="157"/>
      <c r="O4" s="62"/>
      <c r="P4" s="158" t="str">
        <f>_xlfn.DISPIMG("ID_DA4312AC85894956AA7CDE06ED97B8C4",1)</f>
        <v>=DISPIMG("ID_DA4312AC85894956AA7CDE06ED97B8C4",1)</v>
      </c>
      <c r="Q4" s="205"/>
      <c r="R4" s="62"/>
      <c r="S4" s="62"/>
      <c r="T4" s="62"/>
    </row>
    <row r="5" spans="2:20">
      <c r="B5" s="64"/>
      <c r="C5" s="64"/>
      <c r="D5" s="64"/>
      <c r="E5" s="64"/>
      <c r="F5" s="62"/>
      <c r="G5" s="65"/>
      <c r="H5" s="66"/>
      <c r="I5" s="66"/>
      <c r="J5" s="66"/>
      <c r="K5" s="66"/>
      <c r="L5" s="65"/>
      <c r="M5" s="159"/>
      <c r="N5" s="62"/>
      <c r="O5" s="62"/>
      <c r="P5" s="62"/>
      <c r="Q5" s="62"/>
      <c r="R5" s="62"/>
      <c r="S5" s="62"/>
      <c r="T5" s="62"/>
    </row>
    <row r="6" ht="15" spans="2:20">
      <c r="B6" s="64"/>
      <c r="C6" s="64"/>
      <c r="D6" s="64"/>
      <c r="E6" s="64"/>
      <c r="F6" s="62"/>
      <c r="G6" s="65"/>
      <c r="H6" s="66"/>
      <c r="I6" s="66"/>
      <c r="J6" s="66"/>
      <c r="K6" s="66"/>
      <c r="L6" s="160"/>
      <c r="M6" s="159"/>
      <c r="N6" s="62"/>
      <c r="O6" s="62"/>
      <c r="P6" s="62"/>
      <c r="Q6" s="62"/>
      <c r="R6" s="62"/>
      <c r="S6" s="62"/>
      <c r="T6" s="62"/>
    </row>
    <row r="7" spans="2:20">
      <c r="B7" s="67" t="s">
        <v>3</v>
      </c>
      <c r="C7" s="68" t="s">
        <v>4</v>
      </c>
      <c r="D7" s="68"/>
      <c r="E7" s="69" t="s">
        <v>5</v>
      </c>
      <c r="F7" s="62"/>
      <c r="G7" s="62"/>
      <c r="H7" s="70" t="s">
        <v>6</v>
      </c>
      <c r="I7" s="161" t="s">
        <v>3</v>
      </c>
      <c r="J7" s="92" t="s">
        <v>5</v>
      </c>
      <c r="K7" s="162" t="s">
        <v>7</v>
      </c>
      <c r="L7" s="62"/>
      <c r="M7" s="159"/>
      <c r="N7" s="62"/>
      <c r="O7" s="62"/>
      <c r="P7" s="62"/>
      <c r="Q7" s="62"/>
      <c r="R7" s="62"/>
      <c r="S7" s="62"/>
      <c r="T7" s="62"/>
    </row>
    <row r="8" spans="2:20">
      <c r="B8" s="71">
        <f>I8</f>
        <v>0</v>
      </c>
      <c r="C8" s="72"/>
      <c r="D8" s="72"/>
      <c r="E8" s="73">
        <f>J8</f>
        <v>0</v>
      </c>
      <c r="F8" s="62"/>
      <c r="G8" s="62"/>
      <c r="H8" s="74"/>
      <c r="I8" s="163"/>
      <c r="J8" s="163"/>
      <c r="K8" s="164"/>
      <c r="L8" s="62"/>
      <c r="M8" s="62"/>
      <c r="N8" s="62"/>
      <c r="O8" s="62"/>
      <c r="P8" s="62"/>
      <c r="Q8" s="62"/>
      <c r="R8" s="62"/>
      <c r="S8" s="62"/>
      <c r="T8" s="62"/>
    </row>
    <row r="9" spans="2:20">
      <c r="B9" s="75" t="str">
        <f>I10&amp;"年"</f>
        <v>年</v>
      </c>
      <c r="C9" s="76" t="str">
        <f>J10&amp;"月"</f>
        <v>月</v>
      </c>
      <c r="D9" s="76" t="str">
        <f>K10&amp;"日"</f>
        <v>日</v>
      </c>
      <c r="E9" s="77">
        <f>K8</f>
        <v>0</v>
      </c>
      <c r="F9" s="62"/>
      <c r="G9" s="62"/>
      <c r="H9" s="70" t="s">
        <v>8</v>
      </c>
      <c r="I9" s="161" t="s">
        <v>9</v>
      </c>
      <c r="J9" s="92" t="s">
        <v>10</v>
      </c>
      <c r="K9" s="165" t="s">
        <v>11</v>
      </c>
      <c r="L9" s="62"/>
      <c r="M9" s="62"/>
      <c r="N9" s="62"/>
      <c r="O9" s="62"/>
      <c r="P9" s="62"/>
      <c r="Q9" s="62"/>
      <c r="R9" s="62"/>
      <c r="S9" s="62"/>
      <c r="T9" s="62"/>
    </row>
    <row r="10" spans="2:20">
      <c r="B10" s="78" t="s">
        <v>12</v>
      </c>
      <c r="C10" s="79"/>
      <c r="D10" s="79"/>
      <c r="E10" s="80"/>
      <c r="F10" s="62"/>
      <c r="G10" s="62"/>
      <c r="H10" s="74"/>
      <c r="I10" s="163"/>
      <c r="J10" s="163"/>
      <c r="K10" s="166"/>
      <c r="L10" s="62"/>
      <c r="M10" s="62"/>
      <c r="N10" s="62"/>
      <c r="O10" s="62"/>
      <c r="P10" s="62"/>
      <c r="Q10" s="62"/>
      <c r="R10" s="62"/>
      <c r="S10" s="62"/>
      <c r="T10" s="62"/>
    </row>
    <row r="11" customHeight="1" spans="2:20">
      <c r="B11" s="81"/>
      <c r="C11" s="82"/>
      <c r="D11" s="82"/>
      <c r="E11" s="83"/>
      <c r="F11" s="62"/>
      <c r="G11" s="62"/>
      <c r="H11" s="84"/>
      <c r="I11" s="167"/>
      <c r="J11" s="167"/>
      <c r="K11" s="167"/>
      <c r="L11" s="62"/>
      <c r="M11" s="62"/>
      <c r="N11" s="62"/>
      <c r="O11" s="62"/>
      <c r="P11" s="168"/>
      <c r="Q11" s="206"/>
      <c r="R11" s="206"/>
      <c r="S11" s="206"/>
      <c r="T11" s="206"/>
    </row>
    <row r="12" spans="2:20">
      <c r="B12" s="71" t="s">
        <v>13</v>
      </c>
      <c r="C12" s="85" t="str">
        <f>I14&amp;" 与 "&amp;I15</f>
        <v> 与 </v>
      </c>
      <c r="D12" s="85"/>
      <c r="E12" s="73"/>
      <c r="F12" s="62"/>
      <c r="G12" s="62"/>
      <c r="H12" s="86" t="s">
        <v>14</v>
      </c>
      <c r="I12" s="169"/>
      <c r="J12" s="169"/>
      <c r="K12" s="170"/>
      <c r="L12" s="62"/>
      <c r="M12" s="62"/>
      <c r="N12" s="62"/>
      <c r="O12" s="62"/>
      <c r="P12" s="171" t="s">
        <v>15</v>
      </c>
      <c r="Q12" s="207"/>
      <c r="R12" s="208" t="s">
        <v>16</v>
      </c>
      <c r="S12" s="209"/>
      <c r="T12" s="210" t="s">
        <v>17</v>
      </c>
    </row>
    <row r="13" spans="2:20">
      <c r="B13" s="71"/>
      <c r="C13" s="85"/>
      <c r="D13" s="85"/>
      <c r="E13" s="73"/>
      <c r="F13" s="62"/>
      <c r="G13" s="62"/>
      <c r="H13" s="87" t="s">
        <v>18</v>
      </c>
      <c r="I13" s="172" t="s">
        <v>19</v>
      </c>
      <c r="J13" s="172" t="s">
        <v>20</v>
      </c>
      <c r="K13" s="172" t="s">
        <v>21</v>
      </c>
      <c r="L13" s="62"/>
      <c r="M13" s="173"/>
      <c r="N13" s="62"/>
      <c r="O13" s="62"/>
      <c r="P13" s="174"/>
      <c r="Q13" s="211"/>
      <c r="R13" s="212" t="s">
        <v>22</v>
      </c>
      <c r="S13" s="213"/>
      <c r="T13" s="214" t="s">
        <v>23</v>
      </c>
    </row>
    <row r="14" spans="2:20">
      <c r="B14" s="71"/>
      <c r="C14" s="85"/>
      <c r="D14" s="85"/>
      <c r="E14" s="73"/>
      <c r="F14" s="62"/>
      <c r="G14" s="62"/>
      <c r="H14" s="87"/>
      <c r="I14" s="175"/>
      <c r="J14" s="175"/>
      <c r="K14" s="175"/>
      <c r="L14" s="62"/>
      <c r="M14" s="62"/>
      <c r="N14" s="62"/>
      <c r="O14" s="62"/>
      <c r="P14" s="174"/>
      <c r="Q14" s="211"/>
      <c r="R14" s="212"/>
      <c r="S14" s="213"/>
      <c r="T14" s="214"/>
    </row>
    <row r="15" ht="15" customHeight="1" spans="2:20">
      <c r="B15" s="71" t="s">
        <v>24</v>
      </c>
      <c r="C15" s="85">
        <f>J14</f>
        <v>0</v>
      </c>
      <c r="D15" s="85"/>
      <c r="E15" s="73"/>
      <c r="F15" s="62"/>
      <c r="G15" s="62"/>
      <c r="H15" s="87"/>
      <c r="I15" s="175"/>
      <c r="J15" s="175"/>
      <c r="K15" s="175"/>
      <c r="L15" s="62"/>
      <c r="M15" s="62"/>
      <c r="N15" s="62"/>
      <c r="O15" s="62"/>
      <c r="P15" s="176" t="s">
        <v>25</v>
      </c>
      <c r="Q15" s="215"/>
      <c r="R15" s="215"/>
      <c r="S15" s="215"/>
      <c r="T15" s="216"/>
    </row>
    <row r="16" spans="2:20">
      <c r="B16" s="71"/>
      <c r="C16" s="85"/>
      <c r="D16" s="85"/>
      <c r="E16" s="73"/>
      <c r="F16" s="62"/>
      <c r="G16" s="62"/>
      <c r="H16" s="88" t="s">
        <v>26</v>
      </c>
      <c r="I16" s="177"/>
      <c r="J16" s="177"/>
      <c r="K16" s="178"/>
      <c r="L16" s="62"/>
      <c r="M16" s="62"/>
      <c r="N16" s="62"/>
      <c r="O16" s="62"/>
      <c r="P16" s="179"/>
      <c r="Q16" s="217"/>
      <c r="R16" s="217"/>
      <c r="S16" s="217"/>
      <c r="T16" s="218"/>
    </row>
    <row r="17" spans="2:20">
      <c r="B17" s="71" t="s">
        <v>27</v>
      </c>
      <c r="C17" s="85">
        <f>K14</f>
        <v>0</v>
      </c>
      <c r="D17" s="85"/>
      <c r="E17" s="73"/>
      <c r="F17" s="62"/>
      <c r="G17" s="62"/>
      <c r="H17" s="89" t="s">
        <v>28</v>
      </c>
      <c r="I17" s="89"/>
      <c r="J17" s="180"/>
      <c r="K17" s="181"/>
      <c r="L17" s="62"/>
      <c r="M17" s="62"/>
      <c r="N17" s="62"/>
      <c r="O17" s="62"/>
      <c r="P17" s="179"/>
      <c r="Q17" s="217"/>
      <c r="R17" s="217"/>
      <c r="S17" s="217"/>
      <c r="T17" s="218"/>
    </row>
    <row r="18" spans="2:20">
      <c r="B18" s="71"/>
      <c r="C18" s="85"/>
      <c r="D18" s="85"/>
      <c r="E18" s="73"/>
      <c r="F18" s="62"/>
      <c r="G18" s="62"/>
      <c r="H18" s="90" t="s">
        <v>29</v>
      </c>
      <c r="I18" s="90"/>
      <c r="J18" s="182"/>
      <c r="K18" s="183"/>
      <c r="L18" s="62"/>
      <c r="M18" s="62"/>
      <c r="N18" s="62"/>
      <c r="O18" s="62"/>
      <c r="P18" s="179"/>
      <c r="Q18" s="217"/>
      <c r="R18" s="217"/>
      <c r="S18" s="217"/>
      <c r="T18" s="218"/>
    </row>
    <row r="19" spans="2:20">
      <c r="B19" s="91" t="s">
        <v>26</v>
      </c>
      <c r="C19" s="92"/>
      <c r="D19" s="92"/>
      <c r="E19" s="93"/>
      <c r="F19" s="62"/>
      <c r="G19" s="62"/>
      <c r="H19" s="89" t="s">
        <v>30</v>
      </c>
      <c r="I19" s="89"/>
      <c r="K19" s="184"/>
      <c r="L19" s="62"/>
      <c r="M19" s="62"/>
      <c r="N19" s="62"/>
      <c r="O19" s="62"/>
      <c r="P19" s="179"/>
      <c r="Q19" s="217"/>
      <c r="R19" s="217"/>
      <c r="S19" s="217"/>
      <c r="T19" s="218"/>
    </row>
    <row r="20" spans="2:20">
      <c r="B20" s="94" t="str">
        <f>IF(K14="监管者",I8,IF(K14="求生者",J8,""))&amp;"求生者"</f>
        <v>求生者</v>
      </c>
      <c r="C20" s="62" t="s">
        <v>4</v>
      </c>
      <c r="D20" s="62"/>
      <c r="E20" s="95" t="str">
        <f>IF(K14="监管者",J8,IF(K14="求生者",I8,""))&amp;"监管者"</f>
        <v>监管者</v>
      </c>
      <c r="F20" s="62"/>
      <c r="G20" s="62"/>
      <c r="H20" s="90" t="s">
        <v>31</v>
      </c>
      <c r="I20" s="90"/>
      <c r="J20" s="182"/>
      <c r="K20" s="183"/>
      <c r="L20" s="62"/>
      <c r="M20" s="62"/>
      <c r="N20" s="62"/>
      <c r="O20" s="62"/>
      <c r="P20" s="179"/>
      <c r="Q20" s="217"/>
      <c r="R20" s="217"/>
      <c r="S20" s="217"/>
      <c r="T20" s="218"/>
    </row>
    <row r="21" spans="2:20">
      <c r="B21" s="96" t="s">
        <v>32</v>
      </c>
      <c r="C21" s="97"/>
      <c r="D21" s="97"/>
      <c r="E21" s="98"/>
      <c r="F21" s="62"/>
      <c r="G21" s="62"/>
      <c r="H21" s="89" t="s">
        <v>30</v>
      </c>
      <c r="I21" s="89"/>
      <c r="K21" s="184"/>
      <c r="L21" s="62"/>
      <c r="M21" s="62"/>
      <c r="N21" s="62"/>
      <c r="O21" s="62"/>
      <c r="P21" s="179"/>
      <c r="Q21" s="217"/>
      <c r="R21" s="217"/>
      <c r="S21" s="217"/>
      <c r="T21" s="218"/>
    </row>
    <row r="22" spans="2:20">
      <c r="B22" s="99" t="s">
        <v>28</v>
      </c>
      <c r="C22" s="100"/>
      <c r="D22" s="100">
        <f>J17</f>
        <v>0</v>
      </c>
      <c r="E22" s="101">
        <f>K17</f>
        <v>0</v>
      </c>
      <c r="F22" s="62"/>
      <c r="G22" s="62"/>
      <c r="H22" s="90" t="s">
        <v>31</v>
      </c>
      <c r="I22" s="90"/>
      <c r="J22" s="185"/>
      <c r="K22" s="186"/>
      <c r="L22" s="62"/>
      <c r="M22" s="62"/>
      <c r="N22" s="62"/>
      <c r="O22" s="62"/>
      <c r="P22" s="179"/>
      <c r="Q22" s="217"/>
      <c r="R22" s="217"/>
      <c r="S22" s="217"/>
      <c r="T22" s="218"/>
    </row>
    <row r="23" ht="15" spans="2:20">
      <c r="B23" s="102" t="s">
        <v>29</v>
      </c>
      <c r="C23" s="103"/>
      <c r="D23" s="103">
        <f>J18</f>
        <v>0</v>
      </c>
      <c r="E23" s="104">
        <f>K18</f>
        <v>0</v>
      </c>
      <c r="F23" s="62"/>
      <c r="G23" s="62"/>
      <c r="H23" s="89" t="s">
        <v>33</v>
      </c>
      <c r="I23" s="89"/>
      <c r="J23" s="163"/>
      <c r="K23" s="166"/>
      <c r="L23" s="62"/>
      <c r="M23" s="62"/>
      <c r="N23" s="62"/>
      <c r="O23" s="62"/>
      <c r="P23" s="187"/>
      <c r="Q23" s="219"/>
      <c r="R23" s="219"/>
      <c r="S23" s="219"/>
      <c r="T23" s="220"/>
    </row>
    <row r="24" spans="2:15">
      <c r="B24" s="99" t="s">
        <v>30</v>
      </c>
      <c r="C24" s="100"/>
      <c r="D24" s="100">
        <f t="shared" ref="D22:D29" si="0">J19</f>
        <v>0</v>
      </c>
      <c r="E24" s="101"/>
      <c r="F24" s="62"/>
      <c r="G24" s="62"/>
      <c r="H24" s="105" t="s">
        <v>34</v>
      </c>
      <c r="I24" s="188"/>
      <c r="J24" s="189"/>
      <c r="K24" s="189"/>
      <c r="L24" s="62"/>
      <c r="M24" s="62"/>
      <c r="N24" s="62"/>
      <c r="O24" s="62"/>
    </row>
    <row r="25" spans="2:15">
      <c r="B25" s="102" t="s">
        <v>31</v>
      </c>
      <c r="C25" s="103"/>
      <c r="D25" s="103">
        <f t="shared" si="0"/>
        <v>0</v>
      </c>
      <c r="E25" s="104"/>
      <c r="F25" s="62"/>
      <c r="G25" s="62"/>
      <c r="H25" s="106" t="s">
        <v>35</v>
      </c>
      <c r="I25" s="190"/>
      <c r="J25" s="177"/>
      <c r="K25" s="178"/>
      <c r="L25" s="62"/>
      <c r="M25" s="62"/>
      <c r="N25" s="62"/>
      <c r="O25" s="62"/>
    </row>
    <row r="26" spans="2:15">
      <c r="B26" s="99" t="s">
        <v>30</v>
      </c>
      <c r="C26" s="100"/>
      <c r="D26" s="100">
        <f t="shared" si="0"/>
        <v>0</v>
      </c>
      <c r="E26" s="101"/>
      <c r="F26" s="62"/>
      <c r="G26" s="62"/>
      <c r="H26" s="89" t="s">
        <v>28</v>
      </c>
      <c r="I26" s="89"/>
      <c r="J26" s="191"/>
      <c r="K26" s="184"/>
      <c r="L26" s="62"/>
      <c r="M26" s="62"/>
      <c r="N26" s="62"/>
      <c r="O26" s="62"/>
    </row>
    <row r="27" spans="2:15">
      <c r="B27" s="102" t="s">
        <v>31</v>
      </c>
      <c r="C27" s="103"/>
      <c r="D27" s="103">
        <f t="shared" si="0"/>
        <v>0</v>
      </c>
      <c r="E27" s="104"/>
      <c r="F27" s="62"/>
      <c r="G27" s="62"/>
      <c r="H27" s="90" t="s">
        <v>31</v>
      </c>
      <c r="I27" s="90"/>
      <c r="J27" s="182"/>
      <c r="K27" s="183"/>
      <c r="L27" s="62"/>
      <c r="M27" s="62"/>
      <c r="N27" s="62"/>
      <c r="O27" s="62"/>
    </row>
    <row r="28" spans="2:15">
      <c r="B28" s="107" t="s">
        <v>33</v>
      </c>
      <c r="C28" s="108"/>
      <c r="D28" s="108">
        <f t="shared" si="0"/>
        <v>0</v>
      </c>
      <c r="E28" s="109"/>
      <c r="F28" s="62"/>
      <c r="G28" s="62"/>
      <c r="H28" s="89" t="s">
        <v>30</v>
      </c>
      <c r="I28" s="89"/>
      <c r="K28" s="184"/>
      <c r="L28" s="62"/>
      <c r="M28" s="62"/>
      <c r="N28" s="62"/>
      <c r="O28" s="62"/>
    </row>
    <row r="29" ht="15" spans="2:15">
      <c r="B29" s="110" t="s">
        <v>36</v>
      </c>
      <c r="C29" s="111"/>
      <c r="D29" s="112" t="str">
        <f>BO3计算表!K8</f>
        <v/>
      </c>
      <c r="E29" s="113" t="str">
        <f>BO3计算表!L8</f>
        <v/>
      </c>
      <c r="F29" s="62"/>
      <c r="G29" s="62"/>
      <c r="H29" s="90" t="s">
        <v>31</v>
      </c>
      <c r="I29" s="90"/>
      <c r="J29" s="182"/>
      <c r="K29" s="183"/>
      <c r="L29" s="62"/>
      <c r="M29" s="62"/>
      <c r="N29" s="62"/>
      <c r="O29" s="62"/>
    </row>
    <row r="30" spans="2:20">
      <c r="B30" s="91" t="s">
        <v>35</v>
      </c>
      <c r="C30" s="92"/>
      <c r="D30" s="92"/>
      <c r="E30" s="93"/>
      <c r="F30" s="62"/>
      <c r="G30" s="62"/>
      <c r="H30" s="89" t="s">
        <v>30</v>
      </c>
      <c r="I30" s="89"/>
      <c r="K30" s="184"/>
      <c r="L30" s="62"/>
      <c r="M30" s="62"/>
      <c r="N30" s="62"/>
      <c r="O30" s="62"/>
      <c r="P30" s="192" t="s">
        <v>37</v>
      </c>
      <c r="Q30" s="221"/>
      <c r="R30" s="222" t="s">
        <v>38</v>
      </c>
      <c r="S30" s="222"/>
      <c r="T30" s="223"/>
    </row>
    <row r="31" spans="2:20">
      <c r="B31" s="94" t="str">
        <f>IF(K14="监管者",J8,IF(K14="求生者",I8,""))&amp;"求生者"</f>
        <v>求生者</v>
      </c>
      <c r="C31" s="62" t="s">
        <v>4</v>
      </c>
      <c r="D31" s="62"/>
      <c r="E31" s="95" t="str">
        <f>IF(K14="监管者",I8,IF(K14="求生者",J8,""))&amp;"监管者"</f>
        <v>监管者</v>
      </c>
      <c r="F31" s="62"/>
      <c r="G31" s="62"/>
      <c r="H31" s="90" t="s">
        <v>31</v>
      </c>
      <c r="I31" s="90"/>
      <c r="J31" s="182"/>
      <c r="K31" s="183"/>
      <c r="L31" s="62"/>
      <c r="M31" s="62"/>
      <c r="N31" s="62"/>
      <c r="O31" s="62"/>
      <c r="P31" s="193"/>
      <c r="Q31" s="224"/>
      <c r="R31" s="225" t="s">
        <v>39</v>
      </c>
      <c r="S31" s="225"/>
      <c r="T31" s="226"/>
    </row>
    <row r="32" ht="15" spans="2:20">
      <c r="B32" s="114" t="s">
        <v>32</v>
      </c>
      <c r="C32" s="115"/>
      <c r="D32" s="115"/>
      <c r="E32" s="116"/>
      <c r="F32" s="62"/>
      <c r="G32" s="62"/>
      <c r="H32" s="89" t="s">
        <v>33</v>
      </c>
      <c r="I32" s="89"/>
      <c r="J32" s="163"/>
      <c r="K32" s="166"/>
      <c r="L32" s="62"/>
      <c r="M32" s="62"/>
      <c r="N32" s="62"/>
      <c r="O32" s="62"/>
      <c r="P32" s="193"/>
      <c r="Q32" s="224"/>
      <c r="R32" s="227"/>
      <c r="S32" s="227"/>
      <c r="T32" s="228"/>
    </row>
    <row r="33" spans="2:20">
      <c r="B33" s="99" t="s">
        <v>28</v>
      </c>
      <c r="C33" s="100"/>
      <c r="D33" s="100">
        <f t="shared" ref="D33:D40" si="1">J26</f>
        <v>0</v>
      </c>
      <c r="E33" s="101">
        <f>K26</f>
        <v>0</v>
      </c>
      <c r="F33" s="62"/>
      <c r="G33" s="62"/>
      <c r="H33" s="89" t="s">
        <v>34</v>
      </c>
      <c r="I33" s="89"/>
      <c r="J33" s="194"/>
      <c r="K33" s="195"/>
      <c r="L33" s="62"/>
      <c r="M33" s="62"/>
      <c r="N33" s="62"/>
      <c r="O33" s="62"/>
      <c r="P33" s="196" t="s">
        <v>40</v>
      </c>
      <c r="Q33" s="229"/>
      <c r="R33" s="229"/>
      <c r="S33" s="229"/>
      <c r="T33" s="230"/>
    </row>
    <row r="34" spans="2:20">
      <c r="B34" s="102" t="s">
        <v>31</v>
      </c>
      <c r="C34" s="103"/>
      <c r="D34" s="103">
        <f t="shared" si="1"/>
        <v>0</v>
      </c>
      <c r="E34" s="104">
        <f>K27</f>
        <v>0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197" t="s">
        <v>41</v>
      </c>
      <c r="Q34" s="231"/>
      <c r="R34" s="231"/>
      <c r="S34" s="231"/>
      <c r="T34" s="232"/>
    </row>
    <row r="35" spans="2:20">
      <c r="B35" s="99" t="s">
        <v>30</v>
      </c>
      <c r="C35" s="100"/>
      <c r="D35" s="100">
        <f t="shared" si="1"/>
        <v>0</v>
      </c>
      <c r="E35" s="10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197"/>
      <c r="Q35" s="231"/>
      <c r="R35" s="231"/>
      <c r="S35" s="231"/>
      <c r="T35" s="232"/>
    </row>
    <row r="36" spans="2:20">
      <c r="B36" s="102" t="s">
        <v>31</v>
      </c>
      <c r="C36" s="103"/>
      <c r="D36" s="103">
        <f t="shared" si="1"/>
        <v>0</v>
      </c>
      <c r="E36" s="104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197"/>
      <c r="Q36" s="231"/>
      <c r="R36" s="231"/>
      <c r="S36" s="231"/>
      <c r="T36" s="232"/>
    </row>
    <row r="37" spans="2:20">
      <c r="B37" s="99" t="s">
        <v>30</v>
      </c>
      <c r="C37" s="100"/>
      <c r="D37" s="100">
        <f t="shared" si="1"/>
        <v>0</v>
      </c>
      <c r="E37" s="10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197"/>
      <c r="Q37" s="231"/>
      <c r="R37" s="231"/>
      <c r="S37" s="231"/>
      <c r="T37" s="232"/>
    </row>
    <row r="38" ht="15" spans="2:20">
      <c r="B38" s="102" t="s">
        <v>31</v>
      </c>
      <c r="C38" s="103"/>
      <c r="D38" s="103">
        <f t="shared" si="1"/>
        <v>0</v>
      </c>
      <c r="E38" s="104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198"/>
      <c r="Q38" s="233"/>
      <c r="R38" s="233"/>
      <c r="S38" s="233"/>
      <c r="T38" s="234"/>
    </row>
    <row r="39" spans="2:20">
      <c r="B39" s="107" t="s">
        <v>33</v>
      </c>
      <c r="C39" s="108"/>
      <c r="D39" s="108">
        <f t="shared" si="1"/>
        <v>0</v>
      </c>
      <c r="E39" s="109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199" t="s">
        <v>42</v>
      </c>
      <c r="Q39" s="235"/>
      <c r="R39" s="235"/>
      <c r="S39" s="235"/>
      <c r="T39" s="236"/>
    </row>
    <row r="40" spans="2:20">
      <c r="B40" s="110" t="s">
        <v>36</v>
      </c>
      <c r="C40" s="111"/>
      <c r="D40" s="117" t="str">
        <f>BO3计算表!K9</f>
        <v/>
      </c>
      <c r="E40" s="113" t="str">
        <f>BO3计算表!L9</f>
        <v/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197" t="s">
        <v>43</v>
      </c>
      <c r="Q40" s="231"/>
      <c r="R40" s="231"/>
      <c r="S40" s="231"/>
      <c r="T40" s="232"/>
    </row>
    <row r="41" spans="2:20">
      <c r="B41" s="118" t="s">
        <v>44</v>
      </c>
      <c r="C41" s="119"/>
      <c r="D41" s="120" t="str">
        <f>IFERROR(IF(BO3计算表!K8+BO3计算表!K9&gt;BO3计算表!L8+BO3计算表!L9,"1：0",IF(BO3计算表!K8+BO3计算表!K9=BO3计算表!L8+BO3计算表!L9,"1：1","0：1")),"数据缺失")</f>
        <v>数据缺失</v>
      </c>
      <c r="E41" s="121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197"/>
      <c r="Q41" s="231"/>
      <c r="R41" s="231"/>
      <c r="S41" s="231"/>
      <c r="T41" s="232"/>
    </row>
    <row r="42" spans="2:20">
      <c r="B42" s="118"/>
      <c r="C42" s="119"/>
      <c r="D42" s="119"/>
      <c r="E42" s="12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133" t="s">
        <v>45</v>
      </c>
      <c r="Q42" s="62"/>
      <c r="R42" s="62"/>
      <c r="S42" s="62" t="s">
        <v>46</v>
      </c>
      <c r="T42" s="138" t="s">
        <v>47</v>
      </c>
    </row>
    <row r="43" spans="2:20">
      <c r="B43" s="118" t="s">
        <v>48</v>
      </c>
      <c r="C43" s="119"/>
      <c r="D43" s="119" t="str">
        <f>IFERROR((BO3计算表!K8+BO3计算表!K9)&amp;"："&amp;(BO3计算表!L8+BO3计算表!L9),"数据缺失")</f>
        <v>数据缺失</v>
      </c>
      <c r="E43" s="121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133"/>
      <c r="Q43" s="62"/>
      <c r="R43" s="62"/>
      <c r="S43" s="62"/>
      <c r="T43" s="138"/>
    </row>
    <row r="44" ht="15" spans="2:20">
      <c r="B44" s="122"/>
      <c r="C44" s="123"/>
      <c r="D44" s="123"/>
      <c r="E44" s="124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133"/>
      <c r="Q44" s="62"/>
      <c r="R44" s="62"/>
      <c r="S44" s="62"/>
      <c r="T44" s="138"/>
    </row>
    <row r="45" spans="2:20"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133" t="s">
        <v>49</v>
      </c>
      <c r="Q45" s="62"/>
      <c r="R45" s="62" t="s">
        <v>50</v>
      </c>
      <c r="S45" s="62">
        <v>5</v>
      </c>
      <c r="T45" s="138">
        <v>0</v>
      </c>
    </row>
    <row r="46" spans="2:20"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133"/>
      <c r="Q46" s="62"/>
      <c r="R46" s="62" t="s">
        <v>51</v>
      </c>
      <c r="S46" s="62">
        <v>3</v>
      </c>
      <c r="T46" s="138">
        <v>1</v>
      </c>
    </row>
    <row r="47" ht="15" spans="2:20"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133"/>
      <c r="Q47" s="62"/>
      <c r="R47" s="62" t="s">
        <v>52</v>
      </c>
      <c r="S47" s="56">
        <v>2</v>
      </c>
      <c r="T47" s="138">
        <v>2</v>
      </c>
    </row>
    <row r="48" spans="2:20">
      <c r="B48" s="125" t="s">
        <v>53</v>
      </c>
      <c r="C48" s="126"/>
      <c r="D48" s="126"/>
      <c r="E48" s="127"/>
      <c r="F48" s="62"/>
      <c r="G48" s="62"/>
      <c r="H48" s="128" t="s">
        <v>54</v>
      </c>
      <c r="I48" s="128"/>
      <c r="J48" s="128"/>
      <c r="K48" s="128"/>
      <c r="L48" s="62"/>
      <c r="M48" s="62"/>
      <c r="N48" s="62"/>
      <c r="O48" s="62"/>
      <c r="P48" s="133"/>
      <c r="Q48" s="62"/>
      <c r="R48" s="62" t="s">
        <v>55</v>
      </c>
      <c r="S48" s="62">
        <v>1</v>
      </c>
      <c r="T48" s="138">
        <v>3</v>
      </c>
    </row>
    <row r="49" ht="15" spans="2:20">
      <c r="B49" s="129"/>
      <c r="C49" s="130"/>
      <c r="D49" s="130"/>
      <c r="E49" s="131"/>
      <c r="F49" s="62"/>
      <c r="G49" s="62"/>
      <c r="H49" s="132" t="s">
        <v>18</v>
      </c>
      <c r="I49" s="200" t="s">
        <v>56</v>
      </c>
      <c r="J49" s="200" t="s">
        <v>57</v>
      </c>
      <c r="K49" s="200" t="s">
        <v>58</v>
      </c>
      <c r="L49" s="62"/>
      <c r="M49" s="62"/>
      <c r="N49" s="62"/>
      <c r="O49" s="62"/>
      <c r="P49" s="201"/>
      <c r="Q49" s="237"/>
      <c r="R49" s="237" t="s">
        <v>59</v>
      </c>
      <c r="S49" s="237">
        <v>0</v>
      </c>
      <c r="T49" s="238">
        <v>5</v>
      </c>
    </row>
    <row r="50" spans="2:15">
      <c r="B50" s="133" t="s">
        <v>60</v>
      </c>
      <c r="C50" s="85">
        <f>I50</f>
        <v>0</v>
      </c>
      <c r="D50" s="85"/>
      <c r="E50" s="134"/>
      <c r="F50" s="62"/>
      <c r="G50" s="62"/>
      <c r="H50" s="135"/>
      <c r="I50" s="164"/>
      <c r="J50" s="164"/>
      <c r="K50" s="164"/>
      <c r="L50" s="62"/>
      <c r="M50" s="62"/>
      <c r="N50" s="62"/>
      <c r="O50" s="62"/>
    </row>
    <row r="51" spans="2:20">
      <c r="B51" s="133"/>
      <c r="C51" s="85"/>
      <c r="D51" s="85"/>
      <c r="E51" s="134"/>
      <c r="F51" s="62"/>
      <c r="G51" s="62"/>
      <c r="H51" s="106" t="s">
        <v>26</v>
      </c>
      <c r="I51" s="202"/>
      <c r="J51" s="202"/>
      <c r="K51" s="203"/>
      <c r="L51" s="62"/>
      <c r="Q51" s="62"/>
      <c r="R51" s="62"/>
      <c r="S51" s="62"/>
      <c r="T51" s="62"/>
    </row>
    <row r="52" spans="2:20">
      <c r="B52" s="133" t="s">
        <v>61</v>
      </c>
      <c r="C52" s="85">
        <f>J50</f>
        <v>0</v>
      </c>
      <c r="D52" s="85"/>
      <c r="E52" s="134"/>
      <c r="F52" s="62"/>
      <c r="G52" s="62"/>
      <c r="H52" s="89" t="s">
        <v>28</v>
      </c>
      <c r="I52" s="89"/>
      <c r="J52" s="180"/>
      <c r="K52" s="181"/>
      <c r="L52" s="62"/>
      <c r="Q52" s="62"/>
      <c r="R52" s="62"/>
      <c r="S52" s="62"/>
      <c r="T52" s="62"/>
    </row>
    <row r="53" spans="2:20">
      <c r="B53" s="133"/>
      <c r="C53" s="85"/>
      <c r="D53" s="85"/>
      <c r="E53" s="134"/>
      <c r="F53" s="62"/>
      <c r="G53" s="62"/>
      <c r="H53" s="89" t="s">
        <v>62</v>
      </c>
      <c r="I53" s="89"/>
      <c r="K53" s="184"/>
      <c r="L53" s="62"/>
      <c r="Q53" s="62"/>
      <c r="R53" s="62"/>
      <c r="S53" s="62"/>
      <c r="T53" s="62"/>
    </row>
    <row r="54" spans="2:20">
      <c r="B54" s="133" t="s">
        <v>63</v>
      </c>
      <c r="C54" s="85">
        <f>K50</f>
        <v>0</v>
      </c>
      <c r="D54" s="85"/>
      <c r="E54" s="134"/>
      <c r="F54" s="62"/>
      <c r="G54" s="62"/>
      <c r="H54" s="90" t="s">
        <v>29</v>
      </c>
      <c r="I54" s="90"/>
      <c r="J54" s="182"/>
      <c r="K54" s="183"/>
      <c r="L54" s="62"/>
      <c r="Q54" s="62"/>
      <c r="R54" s="62"/>
      <c r="S54" s="62"/>
      <c r="T54" s="62"/>
    </row>
    <row r="55" spans="2:20">
      <c r="B55" s="133"/>
      <c r="C55" s="85"/>
      <c r="D55" s="85"/>
      <c r="E55" s="134"/>
      <c r="F55" s="62"/>
      <c r="G55" s="62"/>
      <c r="H55" s="89" t="s">
        <v>30</v>
      </c>
      <c r="I55" s="89"/>
      <c r="K55" s="184"/>
      <c r="L55" s="62"/>
      <c r="Q55" s="62"/>
      <c r="R55" s="62"/>
      <c r="S55" s="62"/>
      <c r="T55" s="62"/>
    </row>
    <row r="56" spans="2:20">
      <c r="B56" s="136" t="s">
        <v>26</v>
      </c>
      <c r="C56" s="92"/>
      <c r="D56" s="92"/>
      <c r="E56" s="137"/>
      <c r="F56" s="62"/>
      <c r="G56" s="62"/>
      <c r="H56" s="90" t="s">
        <v>31</v>
      </c>
      <c r="I56" s="90"/>
      <c r="J56" s="182"/>
      <c r="K56" s="183"/>
      <c r="L56" s="62"/>
      <c r="Q56" s="62"/>
      <c r="R56" s="62"/>
      <c r="S56" s="62"/>
      <c r="T56" s="62"/>
    </row>
    <row r="57" spans="2:20">
      <c r="B57" s="133" t="str">
        <f>IF(K50="监管者",J8,IF(K50="求生者",I8,""))&amp;"求生者"</f>
        <v>求生者</v>
      </c>
      <c r="C57" s="62" t="s">
        <v>4</v>
      </c>
      <c r="D57" s="62"/>
      <c r="E57" s="138" t="str">
        <f>IF(K50="监管者",I8,IF(K50="求生者",J8,""))&amp;"监管者"</f>
        <v>监管者</v>
      </c>
      <c r="F57" s="62"/>
      <c r="G57" s="62"/>
      <c r="H57" s="89" t="s">
        <v>30</v>
      </c>
      <c r="I57" s="89"/>
      <c r="K57" s="184"/>
      <c r="L57" s="62"/>
      <c r="Q57" s="62"/>
      <c r="R57" s="62"/>
      <c r="S57" s="62"/>
      <c r="T57" s="62"/>
    </row>
    <row r="58" spans="2:20">
      <c r="B58" s="139" t="s">
        <v>64</v>
      </c>
      <c r="C58" s="140"/>
      <c r="D58" s="140"/>
      <c r="E58" s="141"/>
      <c r="F58" s="62"/>
      <c r="G58" s="62"/>
      <c r="H58" s="90" t="s">
        <v>31</v>
      </c>
      <c r="I58" s="90"/>
      <c r="J58" s="182"/>
      <c r="K58" s="183"/>
      <c r="L58" s="62"/>
      <c r="Q58" s="62"/>
      <c r="R58" s="62"/>
      <c r="S58" s="62"/>
      <c r="T58" s="62"/>
    </row>
    <row r="59" spans="2:20">
      <c r="B59" s="142" t="str">
        <f>IF(AND(K14="求生者",K50="监管者"),D23,IF(AND(K14="监管者",K50="求生者"),D23,IF(AND(K14="求生者",K50="求生者"),D34,IF(AND(K14="监管者",K50="监管者"),D34,""))))</f>
        <v/>
      </c>
      <c r="C59" s="143" t="str">
        <f>IF(AND(K14="求生者",K50="监管者"),E23,IF(AND(K14="监管者",K50="求生者"),E23,IF(AND(K14="求生者",K50="求生者"),E34,IF(AND(K14="监管者",K50="监管者"),E34,""))))</f>
        <v/>
      </c>
      <c r="D59" s="143" t="str">
        <f>IF(AND(K14="求生者",K50="监管者"),D25,IF(AND(K14="监管者",K50="求生者"),D25,IF(AND(K14="求生者",K50="求生者"),D36,IF(AND(K14="监管者",K50="监管者"),D36,""))))</f>
        <v/>
      </c>
      <c r="E59" s="144" t="str">
        <f>IF(AND(K14="求生者",K50="监管者"),D27,IF(AND(K14="监管者",K50="求生者"),D27,IF(AND(K14="求生者",K50="求生者"),D38,IF(AND(K14="监管者",K50="监管者"),D38,""))))</f>
        <v/>
      </c>
      <c r="F59" s="62"/>
      <c r="G59" s="62"/>
      <c r="H59" s="89" t="s">
        <v>33</v>
      </c>
      <c r="I59" s="89"/>
      <c r="J59" s="163"/>
      <c r="K59" s="166"/>
      <c r="L59" s="62"/>
      <c r="Q59" s="62"/>
      <c r="R59" s="62"/>
      <c r="S59" s="62"/>
      <c r="T59" s="62"/>
    </row>
    <row r="60" spans="2:20">
      <c r="B60" s="145" t="str">
        <f>IF(AND(K14="求生者",K50="监管者"),D28,IF(AND(K14="监管者",K50="求生者"),D28,IF(AND(K14="求生者",K50="求生者"),D39,IF(AND(K14="监管者",K50="监管者"),D39,""))))</f>
        <v/>
      </c>
      <c r="C60" s="146"/>
      <c r="D60" s="146"/>
      <c r="E60" s="147"/>
      <c r="F60" s="62"/>
      <c r="G60" s="62"/>
      <c r="H60" s="89" t="s">
        <v>34</v>
      </c>
      <c r="I60" s="89"/>
      <c r="J60" s="204"/>
      <c r="K60" s="195"/>
      <c r="L60" s="62"/>
      <c r="Q60" s="62"/>
      <c r="R60" s="62"/>
      <c r="S60" s="62"/>
      <c r="T60" s="62"/>
    </row>
    <row r="61" spans="2:20">
      <c r="B61" s="148" t="s">
        <v>28</v>
      </c>
      <c r="C61" s="100"/>
      <c r="D61" s="100">
        <f t="shared" ref="D61:D69" si="2">J52</f>
        <v>0</v>
      </c>
      <c r="E61" s="149">
        <f>K52</f>
        <v>0</v>
      </c>
      <c r="F61" s="62"/>
      <c r="G61" s="62"/>
      <c r="L61" s="62"/>
      <c r="Q61" s="62"/>
      <c r="R61" s="62"/>
      <c r="S61" s="62"/>
      <c r="T61" s="62"/>
    </row>
    <row r="62" spans="2:20">
      <c r="B62" s="150" t="s">
        <v>62</v>
      </c>
      <c r="C62" s="151"/>
      <c r="D62" s="151">
        <f t="shared" si="2"/>
        <v>0</v>
      </c>
      <c r="E62" s="152"/>
      <c r="F62" s="62"/>
      <c r="G62" s="62"/>
      <c r="L62" s="62"/>
      <c r="Q62" s="62"/>
      <c r="R62" s="62"/>
      <c r="S62" s="62"/>
      <c r="T62" s="62"/>
    </row>
    <row r="63" spans="2:20">
      <c r="B63" s="153" t="s">
        <v>29</v>
      </c>
      <c r="C63" s="103"/>
      <c r="D63" s="103">
        <f t="shared" si="2"/>
        <v>0</v>
      </c>
      <c r="E63" s="154">
        <f>K54</f>
        <v>0</v>
      </c>
      <c r="F63" s="62"/>
      <c r="G63" s="62"/>
      <c r="L63" s="62"/>
      <c r="M63" s="62"/>
      <c r="N63" s="62"/>
      <c r="O63" s="62"/>
      <c r="P63" s="62"/>
      <c r="Q63" s="62"/>
      <c r="R63" s="62"/>
      <c r="S63" s="62"/>
      <c r="T63" s="62"/>
    </row>
    <row r="64" spans="2:20">
      <c r="B64" s="148" t="s">
        <v>30</v>
      </c>
      <c r="C64" s="100"/>
      <c r="D64" s="100">
        <f t="shared" si="2"/>
        <v>0</v>
      </c>
      <c r="E64" s="149"/>
      <c r="F64" s="62"/>
      <c r="G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2:20">
      <c r="B65" s="153" t="s">
        <v>31</v>
      </c>
      <c r="C65" s="103"/>
      <c r="D65" s="103">
        <f t="shared" si="2"/>
        <v>0</v>
      </c>
      <c r="E65" s="154"/>
      <c r="F65" s="62"/>
      <c r="G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2:20">
      <c r="B66" s="148" t="s">
        <v>30</v>
      </c>
      <c r="C66" s="100"/>
      <c r="D66" s="100">
        <f t="shared" si="2"/>
        <v>0</v>
      </c>
      <c r="E66" s="149"/>
      <c r="F66" s="62"/>
      <c r="G66" s="62"/>
      <c r="L66" s="62"/>
      <c r="M66" s="62"/>
      <c r="N66" s="62"/>
      <c r="O66" s="62"/>
      <c r="P66" s="62"/>
      <c r="Q66" s="62"/>
      <c r="R66" s="62"/>
      <c r="S66" s="62"/>
      <c r="T66" s="62"/>
    </row>
    <row r="67" spans="2:20">
      <c r="B67" s="153" t="s">
        <v>31</v>
      </c>
      <c r="C67" s="103"/>
      <c r="D67" s="103">
        <f t="shared" si="2"/>
        <v>0</v>
      </c>
      <c r="E67" s="154"/>
      <c r="F67" s="62"/>
      <c r="G67" s="62"/>
      <c r="L67" s="62"/>
      <c r="M67" s="62"/>
      <c r="N67" s="62"/>
      <c r="O67" s="62"/>
      <c r="P67" s="62"/>
      <c r="Q67" s="62"/>
      <c r="R67" s="62"/>
      <c r="S67" s="62"/>
      <c r="T67" s="62"/>
    </row>
    <row r="68" spans="2:20">
      <c r="B68" s="239" t="s">
        <v>33</v>
      </c>
      <c r="C68" s="108"/>
      <c r="D68" s="108">
        <f t="shared" si="2"/>
        <v>0</v>
      </c>
      <c r="E68" s="240"/>
      <c r="F68" s="62"/>
      <c r="G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2:20">
      <c r="B69" s="241" t="s">
        <v>36</v>
      </c>
      <c r="C69" s="111"/>
      <c r="D69" s="117" t="str">
        <f>BO3计算表!K10</f>
        <v/>
      </c>
      <c r="E69" s="242" t="str">
        <f>BO3计算表!L10</f>
        <v/>
      </c>
      <c r="F69" s="62"/>
      <c r="G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2:20">
      <c r="B70" s="136" t="s">
        <v>35</v>
      </c>
      <c r="C70" s="92"/>
      <c r="D70" s="92"/>
      <c r="E70" s="137"/>
      <c r="F70" s="62"/>
      <c r="G70" s="62"/>
      <c r="H70" s="106" t="s">
        <v>35</v>
      </c>
      <c r="I70" s="190"/>
      <c r="J70" s="190"/>
      <c r="K70" s="263"/>
      <c r="L70" s="62"/>
      <c r="Q70" s="62"/>
      <c r="R70" s="62"/>
      <c r="S70" s="62"/>
      <c r="T70" s="62"/>
    </row>
    <row r="71" spans="2:20">
      <c r="B71" s="133" t="str">
        <f>IF(K50="监管者",I8,IF(K50="求生者",J8,""))&amp;"求生者"</f>
        <v>求生者</v>
      </c>
      <c r="C71" s="62" t="s">
        <v>4</v>
      </c>
      <c r="D71" s="62"/>
      <c r="E71" s="138" t="str">
        <f>IF(K50="监管者",J8,IF(K50="求生者",I8,""))&amp;"监管者"</f>
        <v>监管者</v>
      </c>
      <c r="F71" s="62"/>
      <c r="G71" s="62"/>
      <c r="H71" s="89" t="s">
        <v>28</v>
      </c>
      <c r="I71" s="89"/>
      <c r="J71" s="180"/>
      <c r="K71" s="181"/>
      <c r="L71" s="62"/>
      <c r="Q71" s="62"/>
      <c r="R71" s="62"/>
      <c r="S71" s="62"/>
      <c r="T71" s="62"/>
    </row>
    <row r="72" spans="2:20">
      <c r="B72" s="243" t="s">
        <v>64</v>
      </c>
      <c r="C72" s="115"/>
      <c r="D72" s="115"/>
      <c r="E72" s="244"/>
      <c r="F72" s="62"/>
      <c r="G72" s="62"/>
      <c r="H72" s="89" t="s">
        <v>62</v>
      </c>
      <c r="I72" s="89"/>
      <c r="K72" s="184"/>
      <c r="L72" s="62"/>
      <c r="Q72" s="62"/>
      <c r="R72" s="62"/>
      <c r="S72" s="62"/>
      <c r="T72" s="62"/>
    </row>
    <row r="73" spans="2:20">
      <c r="B73" s="245" t="str">
        <f>IF(AND(K14="求生者",K50="监管者"),D34,IF(AND(K14="监管者",K50="求生者"),D34,IF(AND(K14="求生者",K50="求生者"),D23,IF(AND(K14="监管者",K50="监管者"),D23,""))))</f>
        <v/>
      </c>
      <c r="C73" s="143" t="str">
        <f>IF(AND(K14="求生者",K50="监管者"),E34,IF(AND(K14="监管者",K50="求生者"),E34,IF(AND(K14="求生者",K50="求生者"),E23,IF(AND(K14="监管者",K50="监管者"),E23,""))))</f>
        <v/>
      </c>
      <c r="D73" s="143" t="str">
        <f>IF(AND(K14="求生者",K50="监管者"),D36,IF(AND(K14="监管者",K50="求生者"),D36,IF(AND(K14="求生者",K50="求生者"),D25,IF(AND(K14="监管者",K50="监管者"),D25,""))))</f>
        <v/>
      </c>
      <c r="E73" s="144" t="str">
        <f>IF(AND(K14="求生者",K50="监管者"),D38,IF(AND(K14="监管者",K50="求生者"),D38,IF(AND(K14="求生者",K50="求生者"),D27,IF(AND(K14="监管者",K50="监管者"),D27,""))))</f>
        <v/>
      </c>
      <c r="F73" s="62"/>
      <c r="G73" s="62"/>
      <c r="H73" s="90" t="s">
        <v>29</v>
      </c>
      <c r="I73" s="90"/>
      <c r="J73" s="182"/>
      <c r="K73" s="183"/>
      <c r="L73" s="62"/>
      <c r="Q73" s="62"/>
      <c r="R73" s="62"/>
      <c r="S73" s="62"/>
      <c r="T73" s="62"/>
    </row>
    <row r="74" spans="2:20">
      <c r="B74" s="243" t="str">
        <f>IF(AND(K14="求生者",K50="监管者"),D39,IF(AND(K14="监管者",K50="求生者"),D39,IF(AND(K14="求生者",K50="求生者"),D28,IF(AND(K14="监管者",K50="监管者"),D28,""))))</f>
        <v/>
      </c>
      <c r="C74" s="115"/>
      <c r="D74" s="115"/>
      <c r="E74" s="244"/>
      <c r="F74" s="62"/>
      <c r="G74" s="62"/>
      <c r="H74" s="89" t="s">
        <v>30</v>
      </c>
      <c r="I74" s="89"/>
      <c r="K74" s="184"/>
      <c r="L74" s="62"/>
      <c r="Q74" s="62"/>
      <c r="R74" s="62"/>
      <c r="S74" s="62"/>
      <c r="T74" s="62"/>
    </row>
    <row r="75" spans="2:20">
      <c r="B75" s="148" t="s">
        <v>28</v>
      </c>
      <c r="C75" s="100"/>
      <c r="D75" s="100">
        <f t="shared" ref="D75:D83" si="3">J71</f>
        <v>0</v>
      </c>
      <c r="E75" s="149">
        <f>K71</f>
        <v>0</v>
      </c>
      <c r="F75" s="62"/>
      <c r="G75" s="62"/>
      <c r="H75" s="90" t="s">
        <v>31</v>
      </c>
      <c r="I75" s="90"/>
      <c r="J75" s="182"/>
      <c r="K75" s="183"/>
      <c r="L75" s="62"/>
      <c r="Q75" s="62"/>
      <c r="R75" s="62"/>
      <c r="S75" s="62"/>
      <c r="T75" s="62"/>
    </row>
    <row r="76" spans="2:20">
      <c r="B76" s="150" t="s">
        <v>62</v>
      </c>
      <c r="C76" s="151"/>
      <c r="D76" s="151">
        <f t="shared" si="3"/>
        <v>0</v>
      </c>
      <c r="E76" s="152"/>
      <c r="F76" s="62"/>
      <c r="G76" s="62"/>
      <c r="H76" s="89" t="s">
        <v>30</v>
      </c>
      <c r="I76" s="89"/>
      <c r="K76" s="184"/>
      <c r="L76" s="62"/>
      <c r="Q76" s="62"/>
      <c r="R76" s="62"/>
      <c r="S76" s="62"/>
      <c r="T76" s="62"/>
    </row>
    <row r="77" spans="2:20">
      <c r="B77" s="153" t="s">
        <v>29</v>
      </c>
      <c r="C77" s="103"/>
      <c r="D77" s="103">
        <f t="shared" si="3"/>
        <v>0</v>
      </c>
      <c r="E77" s="154">
        <f>K73</f>
        <v>0</v>
      </c>
      <c r="F77" s="62"/>
      <c r="G77" s="62"/>
      <c r="H77" s="90" t="s">
        <v>31</v>
      </c>
      <c r="I77" s="90"/>
      <c r="J77" s="182"/>
      <c r="K77" s="183"/>
      <c r="L77" s="62"/>
      <c r="Q77" s="62"/>
      <c r="R77" s="62"/>
      <c r="S77" s="62"/>
      <c r="T77" s="62"/>
    </row>
    <row r="78" spans="2:20">
      <c r="B78" s="148" t="s">
        <v>30</v>
      </c>
      <c r="C78" s="100"/>
      <c r="D78" s="100">
        <f t="shared" si="3"/>
        <v>0</v>
      </c>
      <c r="E78" s="149"/>
      <c r="F78" s="62"/>
      <c r="G78" s="62"/>
      <c r="H78" s="89" t="s">
        <v>33</v>
      </c>
      <c r="I78" s="89"/>
      <c r="J78" s="163"/>
      <c r="K78" s="166"/>
      <c r="L78" s="62"/>
      <c r="Q78" s="62"/>
      <c r="R78" s="62"/>
      <c r="S78" s="62"/>
      <c r="T78" s="62"/>
    </row>
    <row r="79" spans="2:20">
      <c r="B79" s="153" t="s">
        <v>31</v>
      </c>
      <c r="C79" s="103"/>
      <c r="D79" s="103">
        <f t="shared" si="3"/>
        <v>0</v>
      </c>
      <c r="E79" s="154"/>
      <c r="F79" s="62"/>
      <c r="G79" s="62"/>
      <c r="H79" s="135" t="s">
        <v>34</v>
      </c>
      <c r="I79" s="264"/>
      <c r="J79" s="194"/>
      <c r="K79" s="195"/>
      <c r="L79" s="62"/>
      <c r="Q79" s="62"/>
      <c r="R79" s="62"/>
      <c r="S79" s="62"/>
      <c r="T79" s="62"/>
    </row>
    <row r="80" spans="2:20">
      <c r="B80" s="148" t="s">
        <v>30</v>
      </c>
      <c r="C80" s="100"/>
      <c r="D80" s="100">
        <f t="shared" si="3"/>
        <v>0</v>
      </c>
      <c r="E80" s="149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</row>
    <row r="81" spans="2:20">
      <c r="B81" s="153" t="s">
        <v>31</v>
      </c>
      <c r="C81" s="103"/>
      <c r="D81" s="103">
        <f t="shared" si="3"/>
        <v>0</v>
      </c>
      <c r="E81" s="154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</row>
    <row r="82" spans="2:20">
      <c r="B82" s="239" t="s">
        <v>33</v>
      </c>
      <c r="C82" s="108"/>
      <c r="D82" s="108">
        <f t="shared" si="3"/>
        <v>0</v>
      </c>
      <c r="E82" s="240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</row>
    <row r="83" spans="2:20">
      <c r="B83" s="241" t="s">
        <v>36</v>
      </c>
      <c r="C83" s="111"/>
      <c r="D83" s="246" t="str">
        <f>BO3计算表!K11</f>
        <v/>
      </c>
      <c r="E83" s="247" t="str">
        <f>BO3计算表!L11</f>
        <v/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</row>
    <row r="84" spans="2:20">
      <c r="B84" s="248" t="s">
        <v>65</v>
      </c>
      <c r="C84" s="119"/>
      <c r="D84" s="120" t="str">
        <f>IFERROR(IF(AND(D41="1：1",BO3计算表!K10+BO3计算表!K11&gt;BO3计算表!L10+BO3计算表!L11),"2：1",IF(AND(D41="1：1",BO3计算表!K10+BO3计算表!K11=BO3计算表!L10+BO3计算表!L11),"2：2",IF(AND(D41="1：1",BO3计算表!K10+BO3计算表!K11&lt;BO3计算表!L10+BO3计算表!L11),"1：2",IF(AND(D41="1：0",BO3计算表!K10+BO3计算表!K11&gt;BO3计算表!L10+BO3计算表!L11),"2：0",IF(AND(D41="1：0",BO3计算表!K10+BO3计算表!K11=BO3计算表!L10+BO3计算表!L11),"2：1",IF(AND(D41="1：0",BO3计算表!K10+BO3计算表!K11&lt;BO3计算表!L10+BO3计算表!L11),"1：1",IF(AND(D41="0：1",BO3计算表!K10+BO3计算表!K11&gt;BO3计算表!L10+BO3计算表!L11),"1：1",IF(AND(D41="0：1",BO3计算表!K10+BO3计算表!K11=BO3计算表!L10+BO3计算表!L11),"1：2",IF(AND(D41="0：1",BO3计算表!K10+BO3计算表!K11&lt;BO3计算表!L10+BO3计算表!L11),"0：2",""))))))))),"数据缺失")</f>
        <v>数据缺失</v>
      </c>
      <c r="E84" s="249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</row>
    <row r="85" spans="2:20">
      <c r="B85" s="248"/>
      <c r="C85" s="119"/>
      <c r="D85" s="119"/>
      <c r="E85" s="249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</row>
    <row r="86" spans="2:20">
      <c r="B86" s="248" t="s">
        <v>48</v>
      </c>
      <c r="C86" s="119"/>
      <c r="D86" s="119" t="str">
        <f>IFERROR((BO3计算表!K8+BO3计算表!K9+BO3计算表!K10+BO3计算表!K11)&amp;"："&amp;(BO3计算表!L8+BO3计算表!L9+BO3计算表!L10+BO3计算表!L11),"数据缺失")</f>
        <v>数据缺失</v>
      </c>
      <c r="E86" s="249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</row>
    <row r="87" spans="2:20">
      <c r="B87" s="248"/>
      <c r="C87" s="119"/>
      <c r="D87" s="119"/>
      <c r="E87" s="249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</row>
    <row r="88" spans="2:20">
      <c r="B88" s="276" t="s">
        <v>66</v>
      </c>
      <c r="C88" s="90"/>
      <c r="D88" s="277" t="str">
        <f>IFERROR(IF(D84="2：0",B8&amp;"获胜",IF(D84="0：2",E8&amp;"获胜",IF(OR(D84="1：1",D84="2：2",D84="2：1",D84="1：2"),"BO3","未产生"))),"未产生")</f>
        <v>未产生</v>
      </c>
      <c r="E88" s="278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</row>
    <row r="89" ht="15" spans="2:20">
      <c r="B89" s="279"/>
      <c r="C89" s="280"/>
      <c r="D89" s="280"/>
      <c r="E89" s="281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</row>
    <row r="90" spans="2:20"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</row>
    <row r="91" spans="2:20"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</row>
    <row r="92" spans="2:20"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</row>
    <row r="93" spans="2:20">
      <c r="B93" s="62"/>
      <c r="C93" s="62"/>
      <c r="D93" s="62"/>
      <c r="E93" s="62"/>
      <c r="F93" s="62"/>
      <c r="G93" s="65"/>
      <c r="H93" s="65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</row>
    <row r="94" spans="2:20">
      <c r="B94" s="62"/>
      <c r="C94" s="62"/>
      <c r="D94" s="62"/>
      <c r="E94" s="62"/>
      <c r="F94" s="62"/>
      <c r="G94" s="65"/>
      <c r="H94" s="65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</row>
    <row r="95" spans="2:20">
      <c r="B95" s="62"/>
      <c r="C95" s="62"/>
      <c r="D95" s="62"/>
      <c r="E95" s="62"/>
      <c r="F95" s="62"/>
      <c r="G95" s="65"/>
      <c r="H95" s="65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</row>
    <row r="96" spans="2:20">
      <c r="B96" s="62"/>
      <c r="C96" s="62"/>
      <c r="D96" s="62"/>
      <c r="E96" s="62"/>
      <c r="F96" s="62"/>
      <c r="G96" s="65"/>
      <c r="H96" s="65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</row>
    <row r="97" ht="15" spans="2:20">
      <c r="B97" s="62"/>
      <c r="C97" s="62"/>
      <c r="D97" s="62"/>
      <c r="E97" s="62"/>
      <c r="F97" s="62"/>
      <c r="G97" s="65"/>
      <c r="H97" s="65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</row>
    <row r="98" spans="2:20">
      <c r="B98" s="250" t="s">
        <v>67</v>
      </c>
      <c r="C98" s="251"/>
      <c r="D98" s="251"/>
      <c r="E98" s="252"/>
      <c r="F98" s="253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</row>
    <row r="99" spans="2:20">
      <c r="B99" s="254"/>
      <c r="C99" s="255"/>
      <c r="D99" s="255"/>
      <c r="E99" s="256"/>
      <c r="F99" s="253"/>
      <c r="G99" s="62"/>
      <c r="H99" s="106" t="s">
        <v>68</v>
      </c>
      <c r="I99" s="190"/>
      <c r="J99" s="190"/>
      <c r="K99" s="263"/>
      <c r="L99" s="62"/>
      <c r="M99" s="62"/>
      <c r="N99" s="62"/>
      <c r="O99" s="62"/>
      <c r="P99" s="62"/>
      <c r="Q99" s="62"/>
      <c r="R99" s="62"/>
      <c r="S99" s="62"/>
      <c r="T99" s="62"/>
    </row>
    <row r="100" spans="2:20">
      <c r="B100" s="133" t="s">
        <v>19</v>
      </c>
      <c r="C100" s="62"/>
      <c r="D100" s="85">
        <f>I101</f>
        <v>0</v>
      </c>
      <c r="E100" s="134"/>
      <c r="F100" s="62"/>
      <c r="G100" s="62"/>
      <c r="H100" s="105" t="s">
        <v>18</v>
      </c>
      <c r="I100" s="265" t="s">
        <v>19</v>
      </c>
      <c r="J100" s="266" t="s">
        <v>20</v>
      </c>
      <c r="K100" s="267" t="s">
        <v>21</v>
      </c>
      <c r="L100" s="62"/>
      <c r="M100" s="62"/>
      <c r="N100" s="62"/>
      <c r="O100" s="62"/>
      <c r="P100" s="62"/>
      <c r="Q100" s="62"/>
      <c r="R100" s="62"/>
      <c r="S100" s="62"/>
      <c r="T100" s="62"/>
    </row>
    <row r="101" spans="2:20">
      <c r="B101" s="133"/>
      <c r="C101" s="62"/>
      <c r="D101" s="85"/>
      <c r="E101" s="134"/>
      <c r="F101" s="62"/>
      <c r="G101" s="62"/>
      <c r="H101" s="132"/>
      <c r="I101" s="268"/>
      <c r="J101" s="163"/>
      <c r="K101" s="166"/>
      <c r="L101" s="62"/>
      <c r="M101" s="62"/>
      <c r="N101" s="62"/>
      <c r="O101" s="62"/>
      <c r="P101" s="62"/>
      <c r="Q101" s="62"/>
      <c r="R101" s="62"/>
      <c r="S101" s="62"/>
      <c r="T101" s="62"/>
    </row>
    <row r="102" spans="2:20">
      <c r="B102" s="133" t="s">
        <v>20</v>
      </c>
      <c r="C102" s="62"/>
      <c r="D102" s="85">
        <f>J101</f>
        <v>0</v>
      </c>
      <c r="E102" s="134"/>
      <c r="F102" s="62"/>
      <c r="G102" s="62"/>
      <c r="H102" s="106" t="s">
        <v>26</v>
      </c>
      <c r="I102" s="190"/>
      <c r="J102" s="190"/>
      <c r="K102" s="263"/>
      <c r="L102" s="62"/>
      <c r="M102" s="62"/>
      <c r="N102" s="62"/>
      <c r="O102" s="62"/>
      <c r="P102" s="62"/>
      <c r="Q102" s="62"/>
      <c r="R102" s="62"/>
      <c r="S102" s="62"/>
      <c r="T102" s="62"/>
    </row>
    <row r="103" spans="2:20">
      <c r="B103" s="133"/>
      <c r="C103" s="62"/>
      <c r="D103" s="85"/>
      <c r="E103" s="134"/>
      <c r="F103" s="62"/>
      <c r="G103" s="62"/>
      <c r="H103" s="89" t="s">
        <v>28</v>
      </c>
      <c r="I103" s="89"/>
      <c r="J103" s="180"/>
      <c r="K103" s="181"/>
      <c r="L103" s="62"/>
      <c r="M103" s="62"/>
      <c r="N103" s="62"/>
      <c r="O103" s="62"/>
      <c r="P103" s="62"/>
      <c r="Q103" s="62"/>
      <c r="R103" s="62"/>
      <c r="S103" s="62"/>
      <c r="T103" s="62"/>
    </row>
    <row r="104" spans="2:20">
      <c r="B104" s="133" t="s">
        <v>21</v>
      </c>
      <c r="C104" s="62"/>
      <c r="D104" s="85">
        <f>K101</f>
        <v>0</v>
      </c>
      <c r="E104" s="134"/>
      <c r="F104" s="62"/>
      <c r="G104" s="62"/>
      <c r="H104" s="89" t="s">
        <v>69</v>
      </c>
      <c r="I104" s="89"/>
      <c r="K104" s="184"/>
      <c r="L104" s="62"/>
      <c r="M104" s="62"/>
      <c r="N104" s="62"/>
      <c r="O104" s="62"/>
      <c r="P104" s="62"/>
      <c r="Q104" s="62"/>
      <c r="R104" s="62"/>
      <c r="S104" s="62"/>
      <c r="T104" s="62"/>
    </row>
    <row r="105" spans="2:20">
      <c r="B105" s="133"/>
      <c r="C105" s="62"/>
      <c r="D105" s="85"/>
      <c r="E105" s="134"/>
      <c r="F105" s="62"/>
      <c r="G105" s="62"/>
      <c r="H105" s="90" t="s">
        <v>29</v>
      </c>
      <c r="I105" s="90"/>
      <c r="J105" s="182"/>
      <c r="K105" s="183"/>
      <c r="L105" s="62"/>
      <c r="M105" s="62"/>
      <c r="N105" s="62"/>
      <c r="O105" s="62"/>
      <c r="P105" s="62"/>
      <c r="Q105" s="62"/>
      <c r="R105" s="62"/>
      <c r="S105" s="62"/>
      <c r="T105" s="62"/>
    </row>
    <row r="106" spans="2:20">
      <c r="B106" s="136" t="s">
        <v>26</v>
      </c>
      <c r="C106" s="92"/>
      <c r="D106" s="92"/>
      <c r="E106" s="137"/>
      <c r="F106" s="62"/>
      <c r="G106" s="62"/>
      <c r="H106" s="89" t="s">
        <v>30</v>
      </c>
      <c r="I106" s="89"/>
      <c r="K106" s="184"/>
      <c r="L106" s="62"/>
      <c r="M106" s="62"/>
      <c r="N106" s="62"/>
      <c r="O106" s="62"/>
      <c r="P106" s="62"/>
      <c r="Q106" s="62"/>
      <c r="R106" s="62"/>
      <c r="S106" s="62"/>
      <c r="T106" s="62"/>
    </row>
    <row r="107" spans="2:20">
      <c r="B107" s="133" t="str">
        <f>IF(K101="监管者",I8,IF(K101="求生者",J8,""))&amp;"求生者"</f>
        <v>求生者</v>
      </c>
      <c r="C107" s="62" t="s">
        <v>4</v>
      </c>
      <c r="D107" s="62"/>
      <c r="E107" s="138" t="str">
        <f>IF(K101="监管者",J8,IF(K101="求生者",I8,""))&amp;"监管者"</f>
        <v>监管者</v>
      </c>
      <c r="F107" s="62"/>
      <c r="G107" s="62"/>
      <c r="H107" s="90" t="s">
        <v>31</v>
      </c>
      <c r="I107" s="90"/>
      <c r="J107" s="182"/>
      <c r="K107" s="183"/>
      <c r="L107" s="62"/>
      <c r="M107" s="62"/>
      <c r="N107" s="62"/>
      <c r="O107" s="62"/>
      <c r="P107" s="62"/>
      <c r="Q107" s="62"/>
      <c r="R107" s="62"/>
      <c r="S107" s="62"/>
      <c r="T107" s="62"/>
    </row>
    <row r="108" spans="2:20">
      <c r="B108" s="139" t="s">
        <v>70</v>
      </c>
      <c r="C108" s="140"/>
      <c r="D108" s="140"/>
      <c r="E108" s="141"/>
      <c r="F108" s="62"/>
      <c r="G108" s="62"/>
      <c r="H108" s="89" t="s">
        <v>30</v>
      </c>
      <c r="I108" s="89"/>
      <c r="K108" s="184"/>
      <c r="L108" s="62"/>
      <c r="M108" s="62"/>
      <c r="N108" s="62"/>
      <c r="O108" s="62"/>
      <c r="P108" s="62"/>
      <c r="Q108" s="62"/>
      <c r="R108" s="62"/>
      <c r="S108" s="62"/>
      <c r="T108" s="62"/>
    </row>
    <row r="109" spans="2:20">
      <c r="B109" s="245" t="str">
        <f>IF(E57=E107,B59,B73)</f>
        <v/>
      </c>
      <c r="C109" s="143" t="str">
        <f>IF(E57=E107,C59,C73)</f>
        <v/>
      </c>
      <c r="D109" s="143" t="str">
        <f>IF(E57=E107,D59,D73)</f>
        <v/>
      </c>
      <c r="E109" s="144" t="str">
        <f>IF(E57=E107,E59,E73)</f>
        <v/>
      </c>
      <c r="F109" s="62"/>
      <c r="G109" s="62"/>
      <c r="H109" s="90" t="s">
        <v>31</v>
      </c>
      <c r="I109" s="90"/>
      <c r="J109" s="182"/>
      <c r="K109" s="183"/>
      <c r="L109" s="62"/>
      <c r="M109" s="62"/>
      <c r="N109" s="62"/>
      <c r="O109" s="62"/>
      <c r="P109" s="62"/>
      <c r="Q109" s="62"/>
      <c r="R109" s="62"/>
      <c r="S109" s="62"/>
      <c r="T109" s="62"/>
    </row>
    <row r="110" spans="2:20">
      <c r="B110" s="245">
        <f>IF(E57=E107,D63,D77)</f>
        <v>0</v>
      </c>
      <c r="C110" s="143">
        <f>IF(E57=E107,E63,E77)</f>
        <v>0</v>
      </c>
      <c r="D110" s="143">
        <f>IF(E57=E107,D65,D79)</f>
        <v>0</v>
      </c>
      <c r="E110" s="144">
        <f>IF(E57=E107,D67,D81)</f>
        <v>0</v>
      </c>
      <c r="F110" s="62"/>
      <c r="G110" s="62"/>
      <c r="H110" s="89" t="s">
        <v>33</v>
      </c>
      <c r="I110" s="89"/>
      <c r="J110" s="163"/>
      <c r="K110" s="166"/>
      <c r="L110" s="62"/>
      <c r="M110" s="62"/>
      <c r="N110" s="62"/>
      <c r="O110" s="62"/>
      <c r="P110" s="62"/>
      <c r="Q110" s="62"/>
      <c r="R110" s="62"/>
      <c r="S110" s="62"/>
      <c r="T110" s="62"/>
    </row>
    <row r="111" spans="2:20">
      <c r="B111" s="257" t="str">
        <f>IF(E57=E107,B60,B74)</f>
        <v/>
      </c>
      <c r="C111" s="258"/>
      <c r="D111" s="259">
        <f>IF(E107=E71,D82,D68)</f>
        <v>0</v>
      </c>
      <c r="E111" s="260"/>
      <c r="F111" s="62"/>
      <c r="G111" s="62"/>
      <c r="H111" s="89" t="s">
        <v>34</v>
      </c>
      <c r="I111" s="89"/>
      <c r="J111" s="204"/>
      <c r="K111" s="195"/>
      <c r="L111" s="62"/>
      <c r="M111" s="62"/>
      <c r="N111" s="62"/>
      <c r="O111" s="62"/>
      <c r="P111" s="62"/>
      <c r="Q111" s="62"/>
      <c r="R111" s="62"/>
      <c r="S111" s="62"/>
      <c r="T111" s="62"/>
    </row>
    <row r="112" spans="2:20">
      <c r="B112" s="148" t="s">
        <v>28</v>
      </c>
      <c r="C112" s="100"/>
      <c r="D112" s="100">
        <f>IFERROR(J103,"")</f>
        <v>0</v>
      </c>
      <c r="E112" s="149">
        <f>K103</f>
        <v>0</v>
      </c>
      <c r="F112" s="62"/>
      <c r="G112" s="62"/>
      <c r="L112" s="62"/>
      <c r="M112" s="62"/>
      <c r="N112" s="62"/>
      <c r="O112" s="62"/>
      <c r="P112" s="62"/>
      <c r="Q112" s="62"/>
      <c r="R112" s="62"/>
      <c r="S112" s="62"/>
      <c r="T112" s="62"/>
    </row>
    <row r="113" spans="2:20">
      <c r="B113" s="150" t="s">
        <v>69</v>
      </c>
      <c r="C113" s="151"/>
      <c r="D113" s="151">
        <f>J104</f>
        <v>0</v>
      </c>
      <c r="E113" s="152">
        <f>K104</f>
        <v>0</v>
      </c>
      <c r="F113" s="62"/>
      <c r="G113" s="62"/>
      <c r="L113" s="62"/>
      <c r="M113" s="62"/>
      <c r="N113" s="62"/>
      <c r="O113" s="62"/>
      <c r="P113" s="62"/>
      <c r="Q113" s="62"/>
      <c r="R113" s="62"/>
      <c r="S113" s="62"/>
      <c r="T113" s="62"/>
    </row>
    <row r="114" spans="2:20">
      <c r="B114" s="153" t="s">
        <v>29</v>
      </c>
      <c r="C114" s="103"/>
      <c r="D114" s="103">
        <f t="shared" ref="D112:D120" si="4">J105</f>
        <v>0</v>
      </c>
      <c r="E114" s="154">
        <f>K105</f>
        <v>0</v>
      </c>
      <c r="F114" s="62"/>
      <c r="G114" s="62"/>
      <c r="L114" s="62"/>
      <c r="M114" s="62"/>
      <c r="R114" s="62"/>
      <c r="S114" s="62"/>
      <c r="T114" s="62"/>
    </row>
    <row r="115" spans="2:20">
      <c r="B115" s="148" t="s">
        <v>30</v>
      </c>
      <c r="C115" s="100"/>
      <c r="D115" s="100">
        <f t="shared" si="4"/>
        <v>0</v>
      </c>
      <c r="E115" s="149"/>
      <c r="F115" s="62"/>
      <c r="G115" s="62"/>
      <c r="L115" s="62"/>
      <c r="M115" s="62"/>
      <c r="R115" s="62"/>
      <c r="S115" s="62"/>
      <c r="T115" s="62"/>
    </row>
    <row r="116" spans="2:20">
      <c r="B116" s="153" t="s">
        <v>31</v>
      </c>
      <c r="C116" s="103"/>
      <c r="D116" s="103">
        <f t="shared" si="4"/>
        <v>0</v>
      </c>
      <c r="E116" s="154"/>
      <c r="F116" s="62"/>
      <c r="G116" s="62"/>
      <c r="L116" s="62"/>
      <c r="M116" s="62"/>
      <c r="R116" s="62"/>
      <c r="S116" s="62"/>
      <c r="T116" s="62"/>
    </row>
    <row r="117" spans="2:20">
      <c r="B117" s="148" t="s">
        <v>30</v>
      </c>
      <c r="C117" s="100"/>
      <c r="D117" s="100">
        <f t="shared" si="4"/>
        <v>0</v>
      </c>
      <c r="E117" s="149"/>
      <c r="F117" s="62"/>
      <c r="G117" s="62"/>
      <c r="L117" s="62"/>
      <c r="M117" s="62"/>
      <c r="R117" s="62"/>
      <c r="S117" s="62"/>
      <c r="T117" s="62"/>
    </row>
    <row r="118" spans="2:20">
      <c r="B118" s="153" t="s">
        <v>31</v>
      </c>
      <c r="C118" s="103"/>
      <c r="D118" s="103">
        <f t="shared" si="4"/>
        <v>0</v>
      </c>
      <c r="E118" s="154"/>
      <c r="F118" s="62"/>
      <c r="G118" s="62"/>
      <c r="L118" s="62"/>
      <c r="M118" s="62"/>
      <c r="R118" s="62"/>
      <c r="S118" s="62"/>
      <c r="T118" s="62"/>
    </row>
    <row r="119" spans="2:20">
      <c r="B119" s="239" t="s">
        <v>33</v>
      </c>
      <c r="C119" s="108"/>
      <c r="D119" s="108">
        <f t="shared" si="4"/>
        <v>0</v>
      </c>
      <c r="E119" s="240"/>
      <c r="F119" s="62"/>
      <c r="G119" s="62"/>
      <c r="L119" s="62"/>
      <c r="M119" s="62"/>
      <c r="R119" s="62"/>
      <c r="S119" s="62"/>
      <c r="T119" s="62"/>
    </row>
    <row r="120" spans="2:20">
      <c r="B120" s="241" t="s">
        <v>36</v>
      </c>
      <c r="C120" s="111"/>
      <c r="D120" s="117" t="str">
        <f>BO3计算表!K12</f>
        <v/>
      </c>
      <c r="E120" s="242" t="str">
        <f>BO3计算表!L12</f>
        <v/>
      </c>
      <c r="F120" s="62"/>
      <c r="G120" s="62"/>
      <c r="L120" s="62"/>
      <c r="M120" s="62"/>
      <c r="R120" s="62"/>
      <c r="S120" s="62"/>
      <c r="T120" s="62"/>
    </row>
    <row r="121" spans="2:20">
      <c r="B121" s="136" t="s">
        <v>35</v>
      </c>
      <c r="C121" s="92"/>
      <c r="D121" s="92"/>
      <c r="E121" s="137"/>
      <c r="F121" s="62"/>
      <c r="G121" s="62"/>
      <c r="H121" s="106" t="s">
        <v>35</v>
      </c>
      <c r="I121" s="190"/>
      <c r="J121" s="190"/>
      <c r="K121" s="263"/>
      <c r="L121" s="62"/>
      <c r="M121" s="62"/>
      <c r="R121" s="62"/>
      <c r="S121" s="62"/>
      <c r="T121" s="62"/>
    </row>
    <row r="122" spans="2:11">
      <c r="B122" s="133" t="str">
        <f>IF(K101="监管者",J8,IF(K101="求生者",I8,""))&amp;"求生者"</f>
        <v>求生者</v>
      </c>
      <c r="C122" s="62" t="s">
        <v>4</v>
      </c>
      <c r="D122" s="62"/>
      <c r="E122" s="138" t="str">
        <f>IF(K101="监管者",I8,IF(K101="求生者",J8,""))&amp;"监管者"</f>
        <v>监管者</v>
      </c>
      <c r="H122" s="89" t="s">
        <v>28</v>
      </c>
      <c r="I122" s="89"/>
      <c r="J122" s="180"/>
      <c r="K122" s="181"/>
    </row>
    <row r="123" spans="2:11">
      <c r="B123" s="139" t="s">
        <v>70</v>
      </c>
      <c r="C123" s="140"/>
      <c r="D123" s="140"/>
      <c r="E123" s="141"/>
      <c r="H123" s="89" t="s">
        <v>69</v>
      </c>
      <c r="I123" s="89"/>
      <c r="K123" s="184"/>
    </row>
    <row r="124" spans="2:11">
      <c r="B124" s="245" t="str">
        <f>IF(E122=E71,B73,B59)</f>
        <v/>
      </c>
      <c r="C124" s="143" t="str">
        <f>IF(E122=E71,C73,C59)</f>
        <v/>
      </c>
      <c r="D124" s="143" t="str">
        <f>IF(E122=E71,D73,D59)</f>
        <v/>
      </c>
      <c r="E124" s="144" t="str">
        <f>IF(E122=E71,E73,E59)</f>
        <v/>
      </c>
      <c r="H124" s="90" t="s">
        <v>29</v>
      </c>
      <c r="I124" s="90"/>
      <c r="J124" s="182"/>
      <c r="K124" s="183"/>
    </row>
    <row r="125" spans="2:11">
      <c r="B125" s="245">
        <f>IF(E122=E71,D77,D63)</f>
        <v>0</v>
      </c>
      <c r="C125" s="143">
        <f>IF(E122=E71,E77,E63)</f>
        <v>0</v>
      </c>
      <c r="D125" s="143">
        <f>IF(E122=E71,D79,D65)</f>
        <v>0</v>
      </c>
      <c r="E125" s="144">
        <f>IF(E122=E71,D81,D67)</f>
        <v>0</v>
      </c>
      <c r="H125" s="89" t="s">
        <v>30</v>
      </c>
      <c r="I125" s="89"/>
      <c r="K125" s="184"/>
    </row>
    <row r="126" spans="2:11">
      <c r="B126" s="261" t="str">
        <f>IF(E122=E71,B74,B60)</f>
        <v/>
      </c>
      <c r="C126" s="262"/>
      <c r="D126" s="259">
        <f>IF(E57=E122,D68,D82)</f>
        <v>0</v>
      </c>
      <c r="E126" s="260"/>
      <c r="H126" s="90" t="s">
        <v>31</v>
      </c>
      <c r="I126" s="90"/>
      <c r="J126" s="182"/>
      <c r="K126" s="183"/>
    </row>
    <row r="127" spans="2:11">
      <c r="B127" s="148" t="s">
        <v>28</v>
      </c>
      <c r="C127" s="100"/>
      <c r="D127" s="100">
        <f t="shared" ref="D127:D135" si="5">J122</f>
        <v>0</v>
      </c>
      <c r="E127" s="149">
        <f>K122</f>
        <v>0</v>
      </c>
      <c r="H127" s="89" t="s">
        <v>30</v>
      </c>
      <c r="I127" s="89"/>
      <c r="K127" s="184"/>
    </row>
    <row r="128" spans="2:11">
      <c r="B128" s="150" t="s">
        <v>69</v>
      </c>
      <c r="C128" s="151"/>
      <c r="D128" s="151">
        <f t="shared" si="5"/>
        <v>0</v>
      </c>
      <c r="E128" s="152">
        <f>K123</f>
        <v>0</v>
      </c>
      <c r="H128" s="90" t="s">
        <v>31</v>
      </c>
      <c r="I128" s="90"/>
      <c r="J128" s="182"/>
      <c r="K128" s="183"/>
    </row>
    <row r="129" spans="2:11">
      <c r="B129" s="153" t="s">
        <v>29</v>
      </c>
      <c r="C129" s="103"/>
      <c r="D129" s="103">
        <f t="shared" si="5"/>
        <v>0</v>
      </c>
      <c r="E129" s="154">
        <f>K124</f>
        <v>0</v>
      </c>
      <c r="H129" s="89" t="s">
        <v>33</v>
      </c>
      <c r="I129" s="89"/>
      <c r="J129" s="163"/>
      <c r="K129" s="166"/>
    </row>
    <row r="130" spans="2:11">
      <c r="B130" s="148" t="s">
        <v>30</v>
      </c>
      <c r="C130" s="100"/>
      <c r="D130" s="100">
        <f t="shared" si="5"/>
        <v>0</v>
      </c>
      <c r="E130" s="149"/>
      <c r="H130" s="89" t="s">
        <v>34</v>
      </c>
      <c r="I130" s="89"/>
      <c r="J130" s="204"/>
      <c r="K130" s="195"/>
    </row>
    <row r="131" spans="2:5">
      <c r="B131" s="153" t="s">
        <v>31</v>
      </c>
      <c r="C131" s="103"/>
      <c r="D131" s="103">
        <f t="shared" si="5"/>
        <v>0</v>
      </c>
      <c r="E131" s="154"/>
    </row>
    <row r="132" spans="2:5">
      <c r="B132" s="148" t="s">
        <v>30</v>
      </c>
      <c r="C132" s="100"/>
      <c r="D132" s="100">
        <f t="shared" si="5"/>
        <v>0</v>
      </c>
      <c r="E132" s="149"/>
    </row>
    <row r="133" spans="2:5">
      <c r="B133" s="153" t="s">
        <v>31</v>
      </c>
      <c r="C133" s="103"/>
      <c r="D133" s="103">
        <f t="shared" si="5"/>
        <v>0</v>
      </c>
      <c r="E133" s="154"/>
    </row>
    <row r="134" spans="2:5">
      <c r="B134" s="239" t="s">
        <v>33</v>
      </c>
      <c r="C134" s="108"/>
      <c r="D134" s="108">
        <f t="shared" si="5"/>
        <v>0</v>
      </c>
      <c r="E134" s="240"/>
    </row>
    <row r="135" spans="2:5">
      <c r="B135" s="241" t="s">
        <v>36</v>
      </c>
      <c r="C135" s="111"/>
      <c r="D135" s="117" t="str">
        <f>BO3计算表!K13</f>
        <v/>
      </c>
      <c r="E135" s="242" t="str">
        <f>BO3计算表!L13</f>
        <v/>
      </c>
    </row>
    <row r="136" spans="2:5">
      <c r="B136" s="269" t="s">
        <v>65</v>
      </c>
      <c r="C136" s="270"/>
      <c r="D136" s="271" t="str">
        <f>IFERROR(IF(ISNUMBER(SEARCH("获胜",D88)),D88,IF(D84="1：1",IF(BO3计算表!K12+BO3计算表!K13&gt;BO3计算表!L12+BO3计算表!L13,"2：1",IF(BO3计算表!K12+BO3计算表!K13=BO3计算表!L12+BO3计算表!L13,"2：2","1：2")),IF(D84="2：2",IF(BO3计算表!K12+BO3计算表!K13&gt;BO3计算表!L12+BO3计算表!L13,"3：2",IF(BO3计算表!K12+BO3计算表!K13=BO3计算表!L12+BO3计算表!L13,"3：3","2：3")),IF(D84="2：1",IF(BO3计算表!K12+BO3计算表!K13&gt;BO3计算表!L12+BO3计算表!L13,"3：1",IF(BO3计算表!K12+BO3计算表!K13=BO3计算表!L12+BO3计算表!L13,"3：2","2：2")),IF(D84="1：2",IF(BO3计算表!K12+BO3计算表!K13&gt;BO3计算表!L12+BO3计算表!L13,"2：2",IF(BO3计算表!K12+BO3计算表!K13=BO3计算表!L12+BO3计算表!L13,"2：3","1：3")),"数据缺失"))))),"数据缺失")</f>
        <v>数据缺失</v>
      </c>
      <c r="E136" s="272"/>
    </row>
    <row r="137" spans="2:5">
      <c r="B137" s="248"/>
      <c r="C137" s="119"/>
      <c r="D137" s="119"/>
      <c r="E137" s="249"/>
    </row>
    <row r="138" spans="2:5">
      <c r="B138" s="248" t="s">
        <v>48</v>
      </c>
      <c r="C138" s="119"/>
      <c r="D138" s="119" t="str">
        <f>IFERROR(IF(ISNUMBER(SEARCH("获胜",D88)),D86,(BO3计算表!K8+BO3计算表!K9+BO3计算表!K10+BO3计算表!K11+BO3计算表!K12+BO3计算表!K13)&amp;"："&amp;(BO3计算表!L8+BO3计算表!L9+BO3计算表!L10+BO3计算表!L11+BO3计算表!L12+BO3计算表!L13)),"数据缺失")</f>
        <v>数据缺失</v>
      </c>
      <c r="E138" s="249"/>
    </row>
    <row r="139" spans="2:5">
      <c r="B139" s="273"/>
      <c r="C139" s="274"/>
      <c r="D139" s="274"/>
      <c r="E139" s="275"/>
    </row>
    <row r="140" spans="2:5">
      <c r="B140" s="276" t="s">
        <v>66</v>
      </c>
      <c r="C140" s="90"/>
      <c r="D140" s="277" t="str">
        <f>IFERROR(IF(ISNUMBER(SEARCH("获胜",D88)),D88,IF(D136="2：2",IF(SUM(BO3计算表!K8,BO3计算表!K9,BO3计算表!K10,BO3计算表!K11,BO3计算表!K12,BO3计算表!K13)&gt;SUM(BO3计算表!L8,BO3计算表!L9,BO3计算表!L10,BO3计算表!L11,BO3计算表!L12,BO3计算表!L13),B8&amp;"获胜",IF(SUM(BO3计算表!K8,BO3计算表!K9,BO3计算表!K10,BO3计算表!K11,BO3计算表!K12,BO3计算表!K13)=SUM(BO3计算表!L8,BO3计算表!L9,BO3计算表!L10,BO3计算表!L11,BO3计算表!L12,BO3计算表!L13),"加赛",E8&amp;"获胜")),IF(OR(D136="3：1",D136="3：2"),B8&amp;"获胜",IF(OR(D136="1：3",D136="2：3"),E8&amp;"获胜",IF(AND(D136="3：3",SUM(BO3计算表!K8,BO3计算表!K9,BO3计算表!K10,BO3计算表!K11,BO3计算表!K12,BO3计算表!K13)=SUM(BO3计算表!L8,BO3计算表!L9,BO3计算表!L10,BO3计算表!L11,BO3计算表!L12,BO3计算表!L13)),"加赛",IF(D136="2：1",B8&amp;"获胜",IF(D136="1：2",E8&amp;"获胜",IF(AND(D136="1：1",SUM(BO3计算表!K8,BO3计算表!K9,BO3计算表!K10,BO3计算表!K11,BO3计算表!K12,BO3计算表!K13)=SUM(BO3计算表!L8,BO3计算表!L9,BO3计算表!L10,BO3计算表!L11,BO3计算表!L12,BO3计算表!L13)),"加赛","未激活")))))))),"")</f>
        <v>未激活</v>
      </c>
      <c r="E140" s="278"/>
    </row>
    <row r="141" spans="2:5">
      <c r="B141" s="279"/>
      <c r="C141" s="280"/>
      <c r="D141" s="280"/>
      <c r="E141" s="281"/>
    </row>
    <row r="151" spans="2:11">
      <c r="B151" s="282" t="s">
        <v>71</v>
      </c>
      <c r="C151" s="283"/>
      <c r="D151" s="283"/>
      <c r="E151" s="284"/>
      <c r="H151" s="106" t="s">
        <v>72</v>
      </c>
      <c r="I151" s="190"/>
      <c r="J151" s="190"/>
      <c r="K151" s="263"/>
    </row>
    <row r="152" spans="2:11">
      <c r="B152" s="285"/>
      <c r="C152" s="286"/>
      <c r="D152" s="286"/>
      <c r="E152" s="287"/>
      <c r="H152" s="288" t="s">
        <v>18</v>
      </c>
      <c r="I152" s="200" t="s">
        <v>73</v>
      </c>
      <c r="J152" s="302" t="s">
        <v>57</v>
      </c>
      <c r="K152" s="303" t="s">
        <v>58</v>
      </c>
    </row>
    <row r="153" spans="2:11">
      <c r="B153" s="133" t="s">
        <v>73</v>
      </c>
      <c r="C153" s="62"/>
      <c r="D153" s="62" t="str">
        <f>I153</f>
        <v>——</v>
      </c>
      <c r="E153" s="138"/>
      <c r="H153" s="132"/>
      <c r="I153" s="304" t="s">
        <v>74</v>
      </c>
      <c r="J153" s="163"/>
      <c r="K153" s="166"/>
    </row>
    <row r="154" spans="2:11">
      <c r="B154" s="133"/>
      <c r="C154" s="62"/>
      <c r="D154" s="62"/>
      <c r="E154" s="138"/>
      <c r="H154" s="289" t="s">
        <v>26</v>
      </c>
      <c r="I154" s="305"/>
      <c r="J154" s="306"/>
      <c r="K154" s="307"/>
    </row>
    <row r="155" spans="2:11">
      <c r="B155" s="133" t="s">
        <v>57</v>
      </c>
      <c r="C155" s="62"/>
      <c r="D155" s="85">
        <f>J153</f>
        <v>0</v>
      </c>
      <c r="E155" s="134"/>
      <c r="H155" s="89" t="s">
        <v>28</v>
      </c>
      <c r="I155" s="89"/>
      <c r="J155" s="180"/>
      <c r="K155" s="181"/>
    </row>
    <row r="156" spans="2:11">
      <c r="B156" s="133"/>
      <c r="C156" s="62"/>
      <c r="D156" s="85"/>
      <c r="E156" s="134"/>
      <c r="H156" s="89" t="s">
        <v>69</v>
      </c>
      <c r="I156" s="89"/>
      <c r="K156" s="184"/>
    </row>
    <row r="157" spans="2:11">
      <c r="B157" s="133" t="s">
        <v>58</v>
      </c>
      <c r="C157" s="62"/>
      <c r="D157" s="85">
        <f>K153</f>
        <v>0</v>
      </c>
      <c r="E157" s="134"/>
      <c r="H157" s="90" t="s">
        <v>29</v>
      </c>
      <c r="I157" s="90"/>
      <c r="J157" s="182"/>
      <c r="K157" s="183"/>
    </row>
    <row r="158" spans="2:11">
      <c r="B158" s="133"/>
      <c r="C158" s="62"/>
      <c r="D158" s="85"/>
      <c r="E158" s="134"/>
      <c r="H158" s="89" t="s">
        <v>30</v>
      </c>
      <c r="I158" s="89"/>
      <c r="K158" s="184"/>
    </row>
    <row r="159" spans="2:11">
      <c r="B159" s="136" t="s">
        <v>26</v>
      </c>
      <c r="C159" s="92"/>
      <c r="D159" s="92"/>
      <c r="E159" s="137"/>
      <c r="H159" s="90" t="s">
        <v>31</v>
      </c>
      <c r="I159" s="90"/>
      <c r="J159" s="182"/>
      <c r="K159" s="183"/>
    </row>
    <row r="160" spans="2:11">
      <c r="B160" s="133" t="str">
        <f>IF(K153="监管者",E8,IF(K153="求生者",B8,""))&amp;"求生者"</f>
        <v>求生者</v>
      </c>
      <c r="C160" s="62" t="s">
        <v>4</v>
      </c>
      <c r="D160" s="62"/>
      <c r="E160" s="138" t="str">
        <f>IF(K153="监管者",B8,IF(K153="求生者",E8,""))&amp;"监管者"</f>
        <v>监管者</v>
      </c>
      <c r="H160" s="89" t="s">
        <v>30</v>
      </c>
      <c r="I160" s="89"/>
      <c r="K160" s="184"/>
    </row>
    <row r="161" spans="2:11">
      <c r="B161" s="139" t="s">
        <v>64</v>
      </c>
      <c r="C161" s="140"/>
      <c r="D161" s="140"/>
      <c r="E161" s="141"/>
      <c r="H161" s="90" t="s">
        <v>31</v>
      </c>
      <c r="I161" s="90"/>
      <c r="J161" s="182"/>
      <c r="K161" s="183"/>
    </row>
    <row r="162" spans="2:11">
      <c r="B162" s="245" t="str">
        <f>IF(B160=B122,B124,B109)</f>
        <v/>
      </c>
      <c r="C162" s="143" t="str">
        <f>IF(B122=B160,C124,C109)</f>
        <v/>
      </c>
      <c r="D162" s="143" t="str">
        <f>IF(B160=B122,D124,D109)</f>
        <v/>
      </c>
      <c r="E162" s="144" t="str">
        <f>IF(B160=B122,E124,E109)</f>
        <v/>
      </c>
      <c r="H162" s="89" t="s">
        <v>33</v>
      </c>
      <c r="I162" s="89"/>
      <c r="J162" s="163"/>
      <c r="K162" s="166"/>
    </row>
    <row r="163" spans="2:11">
      <c r="B163" s="245">
        <f>IF(B160=B122,B125,B110)</f>
        <v>0</v>
      </c>
      <c r="C163" s="143">
        <f>IF(B160=B122,C125,C110)</f>
        <v>0</v>
      </c>
      <c r="D163" s="143">
        <f>IF(B160=B122,D125,D110)</f>
        <v>0</v>
      </c>
      <c r="E163" s="144">
        <f>IF(B160=B122,E125,E110)</f>
        <v>0</v>
      </c>
      <c r="H163" s="89" t="s">
        <v>34</v>
      </c>
      <c r="I163" s="89"/>
      <c r="J163" s="204"/>
      <c r="K163" s="195"/>
    </row>
    <row r="164" spans="2:5">
      <c r="B164" s="245">
        <f>IF(B160=B122,D129,D114)</f>
        <v>0</v>
      </c>
      <c r="C164" s="143">
        <f>IF(B160=B122,E129,E114)</f>
        <v>0</v>
      </c>
      <c r="D164" s="143">
        <f>IF(B160=B122,D131,D116)</f>
        <v>0</v>
      </c>
      <c r="E164" s="144">
        <f>IF(B160=B122,D133,D118)</f>
        <v>0</v>
      </c>
    </row>
    <row r="165" spans="2:5">
      <c r="B165" s="245" t="str">
        <f>IF(B160=B122,B126,B111)</f>
        <v/>
      </c>
      <c r="C165" s="143"/>
      <c r="D165" s="143">
        <f>IF(B160=B122,D126,D111)</f>
        <v>0</v>
      </c>
      <c r="E165" s="144"/>
    </row>
    <row r="166" spans="2:5">
      <c r="B166" s="245">
        <f>IF(B160=B122,D134,D119)</f>
        <v>0</v>
      </c>
      <c r="C166" s="143"/>
      <c r="D166" s="143"/>
      <c r="E166" s="144"/>
    </row>
    <row r="167" spans="2:5">
      <c r="B167" s="148" t="s">
        <v>28</v>
      </c>
      <c r="C167" s="100"/>
      <c r="D167" s="100">
        <f t="shared" ref="D167:D174" si="6">J155</f>
        <v>0</v>
      </c>
      <c r="E167" s="149">
        <f>K155</f>
        <v>0</v>
      </c>
    </row>
    <row r="168" spans="2:5">
      <c r="B168" s="150" t="s">
        <v>69</v>
      </c>
      <c r="C168" s="151"/>
      <c r="D168" s="151">
        <f t="shared" si="6"/>
        <v>0</v>
      </c>
      <c r="E168" s="152">
        <f>K156</f>
        <v>0</v>
      </c>
    </row>
    <row r="169" spans="2:5">
      <c r="B169" s="153" t="s">
        <v>29</v>
      </c>
      <c r="C169" s="103"/>
      <c r="D169" s="103">
        <f t="shared" si="6"/>
        <v>0</v>
      </c>
      <c r="E169" s="154">
        <f>K157</f>
        <v>0</v>
      </c>
    </row>
    <row r="170" spans="2:5">
      <c r="B170" s="148" t="s">
        <v>30</v>
      </c>
      <c r="C170" s="100"/>
      <c r="D170" s="100">
        <f t="shared" si="6"/>
        <v>0</v>
      </c>
      <c r="E170" s="149"/>
    </row>
    <row r="171" spans="2:17">
      <c r="B171" s="153" t="s">
        <v>31</v>
      </c>
      <c r="C171" s="290"/>
      <c r="D171" s="103">
        <f t="shared" si="6"/>
        <v>0</v>
      </c>
      <c r="E171" s="154"/>
      <c r="F171" s="291"/>
      <c r="G171" s="291"/>
      <c r="L171" s="291"/>
      <c r="M171" s="291"/>
      <c r="N171" s="291"/>
      <c r="O171" s="291"/>
      <c r="P171" s="291"/>
      <c r="Q171" s="291"/>
    </row>
    <row r="172" spans="2:5">
      <c r="B172" s="148" t="s">
        <v>30</v>
      </c>
      <c r="C172" s="100"/>
      <c r="D172" s="100">
        <f t="shared" si="6"/>
        <v>0</v>
      </c>
      <c r="E172" s="149"/>
    </row>
    <row r="173" spans="2:5">
      <c r="B173" s="153" t="s">
        <v>31</v>
      </c>
      <c r="C173" s="103"/>
      <c r="D173" s="103">
        <f t="shared" si="6"/>
        <v>0</v>
      </c>
      <c r="E173" s="154"/>
    </row>
    <row r="174" spans="2:5">
      <c r="B174" s="239" t="s">
        <v>33</v>
      </c>
      <c r="C174" s="108"/>
      <c r="D174" s="108">
        <f t="shared" si="6"/>
        <v>0</v>
      </c>
      <c r="E174" s="240"/>
    </row>
    <row r="175" spans="2:5">
      <c r="B175" s="241" t="s">
        <v>36</v>
      </c>
      <c r="C175" s="111"/>
      <c r="D175" s="117" t="str">
        <f>BO3计算表!K14</f>
        <v/>
      </c>
      <c r="E175" s="242" t="str">
        <f>BO3计算表!L14</f>
        <v/>
      </c>
    </row>
    <row r="176" spans="2:11">
      <c r="B176" s="136" t="s">
        <v>35</v>
      </c>
      <c r="C176" s="92"/>
      <c r="D176" s="92"/>
      <c r="E176" s="137"/>
      <c r="H176" s="106" t="s">
        <v>35</v>
      </c>
      <c r="I176" s="190"/>
      <c r="J176" s="190"/>
      <c r="K176" s="263"/>
    </row>
    <row r="177" spans="2:11">
      <c r="B177" s="133" t="str">
        <f>IF(K153="监管者",B8,IF(K153="求生者",E8,""))&amp;"求生者"</f>
        <v>求生者</v>
      </c>
      <c r="C177" s="62" t="s">
        <v>4</v>
      </c>
      <c r="D177" s="62"/>
      <c r="E177" s="138" t="str">
        <f>IF(K153="监管者",E8,IF(K153="求生者",B8,""))&amp;"监管者"</f>
        <v>监管者</v>
      </c>
      <c r="H177" s="89" t="s">
        <v>28</v>
      </c>
      <c r="I177" s="89"/>
      <c r="J177" s="308"/>
      <c r="K177" s="181"/>
    </row>
    <row r="178" spans="2:11">
      <c r="B178" s="245" t="s">
        <v>64</v>
      </c>
      <c r="C178" s="143"/>
      <c r="D178" s="143"/>
      <c r="E178" s="144"/>
      <c r="H178" s="89" t="s">
        <v>69</v>
      </c>
      <c r="I178" s="89"/>
      <c r="J178" s="309"/>
      <c r="K178" s="184"/>
    </row>
    <row r="179" spans="2:11">
      <c r="B179" s="245" t="str">
        <f>IF(B107=B177,B109,B124)</f>
        <v/>
      </c>
      <c r="C179" s="143" t="str">
        <f>IF(B107=B177,C109,C124)</f>
        <v/>
      </c>
      <c r="D179" s="143" t="str">
        <f>IF(B107=B177,D109,D124)</f>
        <v/>
      </c>
      <c r="E179" s="144" t="str">
        <f>IF(B107=B177,E109,E124)</f>
        <v/>
      </c>
      <c r="H179" s="90" t="s">
        <v>29</v>
      </c>
      <c r="I179" s="90"/>
      <c r="J179" s="310"/>
      <c r="K179" s="183"/>
    </row>
    <row r="180" spans="2:11">
      <c r="B180" s="245">
        <f>IF(B107=B177,B110,B125)</f>
        <v>0</v>
      </c>
      <c r="C180" s="143">
        <f>IF(B107=B177,C110,C125)</f>
        <v>0</v>
      </c>
      <c r="D180" s="143">
        <f>IF(B107=B177,D110,D125)</f>
        <v>0</v>
      </c>
      <c r="E180" s="144">
        <f>IF(B107=B177,E110,E125)</f>
        <v>0</v>
      </c>
      <c r="H180" s="89" t="s">
        <v>30</v>
      </c>
      <c r="I180" s="89"/>
      <c r="J180" s="309"/>
      <c r="K180" s="184"/>
    </row>
    <row r="181" spans="2:11">
      <c r="B181" s="245">
        <f>IF(B107=B177,D114,D129)</f>
        <v>0</v>
      </c>
      <c r="C181" s="143">
        <f>IF(B107=B177,E114,E129)</f>
        <v>0</v>
      </c>
      <c r="D181" s="143">
        <f>IF(B107=B177,D116,D131)</f>
        <v>0</v>
      </c>
      <c r="E181" s="144">
        <f>IF(B107=B177,D118,D133)</f>
        <v>0</v>
      </c>
      <c r="H181" s="90" t="s">
        <v>31</v>
      </c>
      <c r="I181" s="90"/>
      <c r="J181" s="310"/>
      <c r="K181" s="183"/>
    </row>
    <row r="182" spans="2:11">
      <c r="B182" s="245" t="str">
        <f>IF(B107=B177,B111,B126)</f>
        <v/>
      </c>
      <c r="C182" s="143"/>
      <c r="D182" s="143">
        <f>IF(B107=B177,D111,D126)</f>
        <v>0</v>
      </c>
      <c r="E182" s="144"/>
      <c r="H182" s="292" t="s">
        <v>30</v>
      </c>
      <c r="I182" s="292"/>
      <c r="J182" s="309"/>
      <c r="K182" s="184"/>
    </row>
    <row r="183" spans="2:11">
      <c r="B183" s="245">
        <f>IF(B107=B177,D119,D134)</f>
        <v>0</v>
      </c>
      <c r="C183" s="143"/>
      <c r="D183" s="143"/>
      <c r="E183" s="144"/>
      <c r="H183" s="90" t="s">
        <v>31</v>
      </c>
      <c r="I183" s="90"/>
      <c r="J183" s="310"/>
      <c r="K183" s="183"/>
    </row>
    <row r="184" spans="2:11">
      <c r="B184" s="148" t="s">
        <v>28</v>
      </c>
      <c r="C184" s="100"/>
      <c r="D184" s="100">
        <f t="shared" ref="D184:D191" si="7">J177</f>
        <v>0</v>
      </c>
      <c r="E184" s="149">
        <f>K177</f>
        <v>0</v>
      </c>
      <c r="H184" s="89" t="s">
        <v>33</v>
      </c>
      <c r="I184" s="89"/>
      <c r="J184" s="268"/>
      <c r="K184" s="166"/>
    </row>
    <row r="185" spans="2:11">
      <c r="B185" s="150" t="s">
        <v>69</v>
      </c>
      <c r="C185" s="151"/>
      <c r="D185" s="151">
        <f t="shared" si="7"/>
        <v>0</v>
      </c>
      <c r="E185" s="152">
        <f>K178</f>
        <v>0</v>
      </c>
      <c r="H185" s="89" t="s">
        <v>34</v>
      </c>
      <c r="I185" s="89"/>
      <c r="J185" s="194"/>
      <c r="K185" s="195"/>
    </row>
    <row r="186" spans="2:5">
      <c r="B186" s="153" t="s">
        <v>29</v>
      </c>
      <c r="C186" s="103"/>
      <c r="D186" s="103">
        <f t="shared" si="7"/>
        <v>0</v>
      </c>
      <c r="E186" s="154">
        <f>K179</f>
        <v>0</v>
      </c>
    </row>
    <row r="187" spans="2:5">
      <c r="B187" s="148" t="s">
        <v>30</v>
      </c>
      <c r="C187" s="100"/>
      <c r="D187" s="100">
        <f t="shared" si="7"/>
        <v>0</v>
      </c>
      <c r="E187" s="149"/>
    </row>
    <row r="188" spans="2:11">
      <c r="B188" s="153" t="s">
        <v>31</v>
      </c>
      <c r="C188" s="290"/>
      <c r="D188" s="103">
        <f t="shared" si="7"/>
        <v>0</v>
      </c>
      <c r="E188" s="154"/>
      <c r="H188" s="62"/>
      <c r="I188" s="311"/>
      <c r="J188" s="311"/>
      <c r="K188" s="62"/>
    </row>
    <row r="189" spans="2:11">
      <c r="B189" s="148" t="s">
        <v>30</v>
      </c>
      <c r="C189" s="100"/>
      <c r="D189" s="100">
        <f t="shared" si="7"/>
        <v>0</v>
      </c>
      <c r="E189" s="149"/>
      <c r="H189" s="293"/>
      <c r="I189" s="293"/>
      <c r="J189" s="293"/>
      <c r="K189" s="293"/>
    </row>
    <row r="190" spans="2:11">
      <c r="B190" s="153" t="s">
        <v>31</v>
      </c>
      <c r="C190" s="103"/>
      <c r="D190" s="103">
        <f t="shared" si="7"/>
        <v>0</v>
      </c>
      <c r="E190" s="154"/>
      <c r="H190" s="66"/>
      <c r="I190" s="66"/>
      <c r="J190" s="66"/>
      <c r="K190" s="66"/>
    </row>
    <row r="191" spans="2:11">
      <c r="B191" s="239" t="s">
        <v>33</v>
      </c>
      <c r="C191" s="108"/>
      <c r="D191" s="108">
        <f t="shared" si="7"/>
        <v>0</v>
      </c>
      <c r="E191" s="240"/>
      <c r="H191" s="66"/>
      <c r="I191" s="66"/>
      <c r="J191" s="66"/>
      <c r="K191" s="66"/>
    </row>
    <row r="192" spans="2:11">
      <c r="B192" s="294" t="s">
        <v>36</v>
      </c>
      <c r="C192" s="295"/>
      <c r="D192" s="296" t="str">
        <f>BO3计算表!K15</f>
        <v/>
      </c>
      <c r="E192" s="297" t="str">
        <f>BO3计算表!L15</f>
        <v/>
      </c>
      <c r="H192" s="293"/>
      <c r="I192" s="293"/>
      <c r="J192" s="293"/>
      <c r="K192" s="293"/>
    </row>
    <row r="193" spans="2:5">
      <c r="B193" s="248" t="s">
        <v>65</v>
      </c>
      <c r="C193" s="119"/>
      <c r="D193" s="119" t="str">
        <f>IFERROR(IF(ISNUMBER(SEARCH("获胜",D140)),D136,IF(AND(D136="3：3",BO3计算表!K14+BO3计算表!K15&gt;BO3计算表!L14+BO3计算表!L15),"4：3",IF(AND(D136="3：3",BO3计算表!K14+BO3计算表!K15&lt;BO3计算表!L14+BO3计算表!L15),"3：4",D136))),"数据缺失")</f>
        <v>数据缺失</v>
      </c>
      <c r="E193" s="249"/>
    </row>
    <row r="194" spans="2:5">
      <c r="B194" s="248"/>
      <c r="C194" s="119"/>
      <c r="D194" s="119"/>
      <c r="E194" s="249"/>
    </row>
    <row r="195" spans="2:5">
      <c r="B195" s="248" t="s">
        <v>48</v>
      </c>
      <c r="C195" s="119"/>
      <c r="D195" s="119" t="str">
        <f>IFERROR(IF(ISNUMBER(SEARCH("获胜",D140)),D138,(BO3计算表!K8+BO3计算表!K9+BO3计算表!K10+BO3计算表!K11+BO3计算表!K12+BO3计算表!K13+BO3计算表!K14+BO3计算表!K15)&amp;"："&amp;(BO3计算表!L8+BO3计算表!L9+BO3计算表!L10+BO3计算表!L11+BO3计算表!L12+BO3计算表!L13+BO3计算表!L14+BO3计算表!L15)),"数据缺失")</f>
        <v>数据缺失</v>
      </c>
      <c r="E195" s="249"/>
    </row>
    <row r="196" spans="2:5">
      <c r="B196" s="248"/>
      <c r="C196" s="119"/>
      <c r="D196" s="119"/>
      <c r="E196" s="249"/>
    </row>
    <row r="197" spans="2:5">
      <c r="B197" s="298" t="s">
        <v>66</v>
      </c>
      <c r="C197" s="299"/>
      <c r="D197" s="300" t="str">
        <f>IFERROR(IF(ISNUMBER(SEARCH("获胜",D140)),D140,IF(D136="3：3",IF(BO3计算表!K14+BO3计算表!K15&gt;BO3计算表!L14+BO3计算表!L15,B8&amp;"获胜",IF(BO3计算表!K14+BO3计算表!K15&lt;BO3计算表!L14+BO3计算表!L15,E8&amp;"获胜","看时间")),IF(D136="2：2",IF(BO3计算表!K14+BO3计算表!K15&gt;BO3计算表!L14+BO3计算表!L15,B8&amp;"获胜",IF(BO3计算表!K14+BO3计算表!K15&lt;BO3计算表!L14+BO3计算表!L15,E8&amp;"获胜","看时间")),"未激活"))),"未激活")</f>
        <v>未激活</v>
      </c>
      <c r="E197" s="301"/>
    </row>
    <row r="198" spans="2:5">
      <c r="B198" s="279"/>
      <c r="C198" s="280"/>
      <c r="D198" s="280"/>
      <c r="E198" s="281"/>
    </row>
    <row r="202" spans="8:11">
      <c r="H202" s="311"/>
      <c r="I202" s="311"/>
      <c r="J202" s="311"/>
      <c r="K202" s="311"/>
    </row>
    <row r="203" spans="8:11">
      <c r="H203" s="311"/>
      <c r="I203" s="311"/>
      <c r="J203" s="311"/>
      <c r="K203" s="311"/>
    </row>
    <row r="204" spans="8:11">
      <c r="H204" s="311"/>
      <c r="I204" s="311"/>
      <c r="J204" s="311"/>
      <c r="K204" s="311"/>
    </row>
    <row r="205" spans="8:11">
      <c r="H205" s="311"/>
      <c r="I205" s="311"/>
      <c r="J205" s="311"/>
      <c r="K205" s="311"/>
    </row>
    <row r="206" spans="8:11">
      <c r="H206" s="293"/>
      <c r="I206" s="293"/>
      <c r="J206" s="314"/>
      <c r="K206" s="314"/>
    </row>
    <row r="207" spans="8:11">
      <c r="H207" s="293"/>
      <c r="I207" s="293"/>
      <c r="J207" s="314"/>
      <c r="K207" s="314"/>
    </row>
  </sheetData>
  <sheetProtection formatCells="0" sort="0" autoFilter="0" pivotTables="0"/>
  <mergeCells count="359">
    <mergeCell ref="B4:E4"/>
    <mergeCell ref="H4:K4"/>
    <mergeCell ref="P4:Q4"/>
    <mergeCell ref="H12:K12"/>
    <mergeCell ref="R12:S12"/>
    <mergeCell ref="H16:K16"/>
    <mergeCell ref="H17:I17"/>
    <mergeCell ref="H18:I18"/>
    <mergeCell ref="B19:E19"/>
    <mergeCell ref="H19:I19"/>
    <mergeCell ref="J19:K19"/>
    <mergeCell ref="C20:D20"/>
    <mergeCell ref="H20:I20"/>
    <mergeCell ref="J20:K20"/>
    <mergeCell ref="B21:E21"/>
    <mergeCell ref="H21:I21"/>
    <mergeCell ref="J21:K21"/>
    <mergeCell ref="B22:C22"/>
    <mergeCell ref="H22:I22"/>
    <mergeCell ref="J22:K22"/>
    <mergeCell ref="B23:C23"/>
    <mergeCell ref="H23:I23"/>
    <mergeCell ref="J23:K23"/>
    <mergeCell ref="B24:C24"/>
    <mergeCell ref="D24:E24"/>
    <mergeCell ref="H24:I24"/>
    <mergeCell ref="J24:K24"/>
    <mergeCell ref="B25:C25"/>
    <mergeCell ref="D25:E25"/>
    <mergeCell ref="H25:K25"/>
    <mergeCell ref="B26:C26"/>
    <mergeCell ref="D26:E26"/>
    <mergeCell ref="H26:I26"/>
    <mergeCell ref="B27:C27"/>
    <mergeCell ref="D27:E27"/>
    <mergeCell ref="H27:I27"/>
    <mergeCell ref="B28:C28"/>
    <mergeCell ref="D28:E28"/>
    <mergeCell ref="H28:I28"/>
    <mergeCell ref="J28:K28"/>
    <mergeCell ref="B29:C29"/>
    <mergeCell ref="H29:I29"/>
    <mergeCell ref="J29:K29"/>
    <mergeCell ref="B30:E30"/>
    <mergeCell ref="H30:I30"/>
    <mergeCell ref="J30:K30"/>
    <mergeCell ref="R30:T30"/>
    <mergeCell ref="C31:D31"/>
    <mergeCell ref="H31:I31"/>
    <mergeCell ref="J31:K31"/>
    <mergeCell ref="B32:E32"/>
    <mergeCell ref="H32:I32"/>
    <mergeCell ref="J32:K32"/>
    <mergeCell ref="B33:C33"/>
    <mergeCell ref="H33:I33"/>
    <mergeCell ref="J33:K33"/>
    <mergeCell ref="P33:T33"/>
    <mergeCell ref="B34:C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P39:T39"/>
    <mergeCell ref="B40:C40"/>
    <mergeCell ref="H48:K48"/>
    <mergeCell ref="H51:K51"/>
    <mergeCell ref="H52:I52"/>
    <mergeCell ref="H53:I53"/>
    <mergeCell ref="J53:K53"/>
    <mergeCell ref="H54:I54"/>
    <mergeCell ref="H55:I55"/>
    <mergeCell ref="J55:K55"/>
    <mergeCell ref="B56:E56"/>
    <mergeCell ref="H56:I56"/>
    <mergeCell ref="J56:K56"/>
    <mergeCell ref="C57:D57"/>
    <mergeCell ref="H57:I57"/>
    <mergeCell ref="J57:K57"/>
    <mergeCell ref="B58:E58"/>
    <mergeCell ref="H58:I58"/>
    <mergeCell ref="J58:K58"/>
    <mergeCell ref="H59:I59"/>
    <mergeCell ref="J59:K59"/>
    <mergeCell ref="B60:E60"/>
    <mergeCell ref="H60:I60"/>
    <mergeCell ref="J60:K60"/>
    <mergeCell ref="B61:C61"/>
    <mergeCell ref="B62:C62"/>
    <mergeCell ref="D62:E62"/>
    <mergeCell ref="B63:C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B70:E70"/>
    <mergeCell ref="H70:K70"/>
    <mergeCell ref="C71:D71"/>
    <mergeCell ref="H71:I71"/>
    <mergeCell ref="B72:E72"/>
    <mergeCell ref="H72:I72"/>
    <mergeCell ref="J72:K72"/>
    <mergeCell ref="H73:I73"/>
    <mergeCell ref="B74:E74"/>
    <mergeCell ref="H74:I74"/>
    <mergeCell ref="J74:K74"/>
    <mergeCell ref="B75:C75"/>
    <mergeCell ref="H75:I75"/>
    <mergeCell ref="J75:K75"/>
    <mergeCell ref="B76:C76"/>
    <mergeCell ref="D76:E76"/>
    <mergeCell ref="H76:I76"/>
    <mergeCell ref="J76:K76"/>
    <mergeCell ref="B77:C77"/>
    <mergeCell ref="H77:I77"/>
    <mergeCell ref="J77:K77"/>
    <mergeCell ref="B78:C78"/>
    <mergeCell ref="D78:E78"/>
    <mergeCell ref="H78:I78"/>
    <mergeCell ref="J78:K78"/>
    <mergeCell ref="B79:C79"/>
    <mergeCell ref="D79:E79"/>
    <mergeCell ref="H79:I79"/>
    <mergeCell ref="J79:K79"/>
    <mergeCell ref="B80:C80"/>
    <mergeCell ref="D80:E80"/>
    <mergeCell ref="B81:C81"/>
    <mergeCell ref="D81:E81"/>
    <mergeCell ref="B82:C82"/>
    <mergeCell ref="D82:E82"/>
    <mergeCell ref="B83:C83"/>
    <mergeCell ref="H99:K99"/>
    <mergeCell ref="H102:K102"/>
    <mergeCell ref="H103:I103"/>
    <mergeCell ref="H104:I104"/>
    <mergeCell ref="H105:I105"/>
    <mergeCell ref="B106:E106"/>
    <mergeCell ref="H106:I106"/>
    <mergeCell ref="J106:K106"/>
    <mergeCell ref="C107:D107"/>
    <mergeCell ref="H107:I107"/>
    <mergeCell ref="J107:K107"/>
    <mergeCell ref="B108:E108"/>
    <mergeCell ref="H108:I108"/>
    <mergeCell ref="J108:K108"/>
    <mergeCell ref="H109:I109"/>
    <mergeCell ref="J109:K109"/>
    <mergeCell ref="H110:I110"/>
    <mergeCell ref="J110:K110"/>
    <mergeCell ref="B111:C111"/>
    <mergeCell ref="D111:E111"/>
    <mergeCell ref="H111:I111"/>
    <mergeCell ref="J111:K111"/>
    <mergeCell ref="B112:C112"/>
    <mergeCell ref="B113:C113"/>
    <mergeCell ref="B114:C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B121:E121"/>
    <mergeCell ref="H121:K121"/>
    <mergeCell ref="C122:D122"/>
    <mergeCell ref="H122:I122"/>
    <mergeCell ref="B123:E123"/>
    <mergeCell ref="H123:I123"/>
    <mergeCell ref="H124:I124"/>
    <mergeCell ref="H125:I125"/>
    <mergeCell ref="J125:K125"/>
    <mergeCell ref="B126:C126"/>
    <mergeCell ref="D126:E126"/>
    <mergeCell ref="H126:I126"/>
    <mergeCell ref="J126:K126"/>
    <mergeCell ref="B127:C127"/>
    <mergeCell ref="H127:I127"/>
    <mergeCell ref="J127:K127"/>
    <mergeCell ref="B128:C128"/>
    <mergeCell ref="H128:I128"/>
    <mergeCell ref="J128:K128"/>
    <mergeCell ref="B129:C129"/>
    <mergeCell ref="H129:I129"/>
    <mergeCell ref="J129:K129"/>
    <mergeCell ref="B130:C130"/>
    <mergeCell ref="D130:E130"/>
    <mergeCell ref="H130:I130"/>
    <mergeCell ref="J130:K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H151:K151"/>
    <mergeCell ref="H154:K154"/>
    <mergeCell ref="H155:I155"/>
    <mergeCell ref="H156:I156"/>
    <mergeCell ref="H157:I157"/>
    <mergeCell ref="H158:I158"/>
    <mergeCell ref="J158:K158"/>
    <mergeCell ref="B159:E159"/>
    <mergeCell ref="H159:I159"/>
    <mergeCell ref="J159:K159"/>
    <mergeCell ref="C160:D160"/>
    <mergeCell ref="H160:I160"/>
    <mergeCell ref="J160:K160"/>
    <mergeCell ref="B161:E161"/>
    <mergeCell ref="H161:I161"/>
    <mergeCell ref="J161:K161"/>
    <mergeCell ref="H162:I162"/>
    <mergeCell ref="J162:K162"/>
    <mergeCell ref="H163:I163"/>
    <mergeCell ref="J163:K163"/>
    <mergeCell ref="B165:C165"/>
    <mergeCell ref="D165:E165"/>
    <mergeCell ref="B166:E166"/>
    <mergeCell ref="B167:C167"/>
    <mergeCell ref="B168:C168"/>
    <mergeCell ref="B169:C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B176:E176"/>
    <mergeCell ref="H176:K176"/>
    <mergeCell ref="C177:D177"/>
    <mergeCell ref="H177:I177"/>
    <mergeCell ref="B178:E178"/>
    <mergeCell ref="H178:I178"/>
    <mergeCell ref="H179:I179"/>
    <mergeCell ref="H180:I180"/>
    <mergeCell ref="J180:K180"/>
    <mergeCell ref="H181:I181"/>
    <mergeCell ref="J181:K181"/>
    <mergeCell ref="B182:C182"/>
    <mergeCell ref="D182:E182"/>
    <mergeCell ref="H182:I182"/>
    <mergeCell ref="J182:K182"/>
    <mergeCell ref="B183:E183"/>
    <mergeCell ref="H183:I183"/>
    <mergeCell ref="J183:K183"/>
    <mergeCell ref="B184:C184"/>
    <mergeCell ref="H184:I184"/>
    <mergeCell ref="J184:K184"/>
    <mergeCell ref="B185:C185"/>
    <mergeCell ref="H185:I185"/>
    <mergeCell ref="J185:K185"/>
    <mergeCell ref="B186:C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B12:B14"/>
    <mergeCell ref="B15:B16"/>
    <mergeCell ref="B17:B18"/>
    <mergeCell ref="B50:B51"/>
    <mergeCell ref="B52:B53"/>
    <mergeCell ref="B54:B55"/>
    <mergeCell ref="H7:H8"/>
    <mergeCell ref="H9:H10"/>
    <mergeCell ref="H13:H15"/>
    <mergeCell ref="H49:H50"/>
    <mergeCell ref="H100:H101"/>
    <mergeCell ref="H152:H153"/>
    <mergeCell ref="J14:J15"/>
    <mergeCell ref="K14:K15"/>
    <mergeCell ref="S42:S44"/>
    <mergeCell ref="T13:T14"/>
    <mergeCell ref="T42:T44"/>
    <mergeCell ref="P40:T41"/>
    <mergeCell ref="B1:E2"/>
    <mergeCell ref="C7:D8"/>
    <mergeCell ref="P42:R44"/>
    <mergeCell ref="R31:T32"/>
    <mergeCell ref="P30:Q32"/>
    <mergeCell ref="B10:E11"/>
    <mergeCell ref="R13:S14"/>
    <mergeCell ref="P15:T23"/>
    <mergeCell ref="P34:T38"/>
    <mergeCell ref="P12:Q14"/>
    <mergeCell ref="B48:E49"/>
    <mergeCell ref="B155:C156"/>
    <mergeCell ref="D155:E156"/>
    <mergeCell ref="B98:E99"/>
    <mergeCell ref="C52:E53"/>
    <mergeCell ref="B157:C158"/>
    <mergeCell ref="D157:E158"/>
    <mergeCell ref="B140:C141"/>
    <mergeCell ref="D140:E141"/>
    <mergeCell ref="B138:C139"/>
    <mergeCell ref="D138:E139"/>
    <mergeCell ref="B86:C87"/>
    <mergeCell ref="D86:E87"/>
    <mergeCell ref="B102:C103"/>
    <mergeCell ref="D102:E103"/>
    <mergeCell ref="C17:E18"/>
    <mergeCell ref="B104:C105"/>
    <mergeCell ref="D104:E105"/>
    <mergeCell ref="C54:E55"/>
    <mergeCell ref="B43:C44"/>
    <mergeCell ref="D43:E44"/>
    <mergeCell ref="B151:E152"/>
    <mergeCell ref="B41:C42"/>
    <mergeCell ref="D41:E42"/>
    <mergeCell ref="B153:C154"/>
    <mergeCell ref="D153:E154"/>
    <mergeCell ref="B100:C101"/>
    <mergeCell ref="D100:E101"/>
    <mergeCell ref="B88:C89"/>
    <mergeCell ref="D88:E89"/>
    <mergeCell ref="B84:C85"/>
    <mergeCell ref="D84:E85"/>
    <mergeCell ref="B195:C196"/>
    <mergeCell ref="D195:E196"/>
    <mergeCell ref="B193:C194"/>
    <mergeCell ref="D193:E194"/>
    <mergeCell ref="B197:C198"/>
    <mergeCell ref="D197:E198"/>
    <mergeCell ref="C50:E51"/>
    <mergeCell ref="B136:C137"/>
    <mergeCell ref="D136:E137"/>
    <mergeCell ref="C12:E14"/>
    <mergeCell ref="C15:E16"/>
    <mergeCell ref="P45:Q49"/>
  </mergeCells>
  <conditionalFormatting sqref="H16:K16">
    <cfRule type="duplicateValues" priority="1"/>
  </conditionalFormatting>
  <conditionalFormatting sqref="B59">
    <cfRule type="duplicateValues" dxfId="0" priority="2"/>
  </conditionalFormatting>
  <dataValidations count="6">
    <dataValidation type="list" allowBlank="1" showErrorMessage="1" errorTitle="错误提示" error="请输入下拉列表中的值" sqref="I10" errorStyle="information">
      <formula1>"2026,2027,2028"</formula1>
    </dataValidation>
    <dataValidation type="list" allowBlank="1" showErrorMessage="1" errorTitle="错误提示" error="请输入下拉列表中的值" sqref="J10" errorStyle="information">
      <formula1>"1,2,3,4,5,6,7,8,9,10,11,12"</formula1>
    </dataValidation>
    <dataValidation type="list" allowBlank="1" showErrorMessage="1" errorTitle="错误提示" error="请输入下拉列表中的值" sqref="J24:K24 J33:K33 J60:K60 J79:K79 J111:K111 J130:K130 J163:K163 J185:K185" errorStyle="information">
      <formula1>"四抓,三抓,平局,三跑,四跑"</formula1>
    </dataValidation>
    <dataValidation type="list" allowBlank="1" showInputMessage="1" showErrorMessage="1" errorTitle="错误提示" error="请输入一个文本：长度介于  至  之间" sqref="I50" errorStyle="information">
      <formula1>"军工厂,圣心医院,红教堂,湖景村,月亮河公园,里奥的回忆,唐人街,不归林"</formula1>
    </dataValidation>
    <dataValidation type="list" allowBlank="1" showErrorMessage="1" errorTitle="错误提示" error="请输入下拉列表中的值" sqref="J50 I101:J101 J153 I14:J15" errorStyle="information">
      <formula1>"军工厂,圣心医院,红教堂,湖景村,月亮河公园,里奥的回忆,唐人街,不归林"</formula1>
    </dataValidation>
    <dataValidation type="list" allowBlank="1" showErrorMessage="1" errorTitle="错误提示" error="请输入下拉列表中的值" sqref="K50 K101 K153 K14:K15" errorStyle="information">
      <formula1>"求生者,监管者"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304"/>
  <sheetViews>
    <sheetView tabSelected="1" topLeftCell="A296" workbookViewId="0">
      <selection activeCell="J295" sqref="J295"/>
    </sheetView>
  </sheetViews>
  <sheetFormatPr defaultColWidth="9" defaultRowHeight="14.25"/>
  <cols>
    <col min="1" max="16384" width="9" style="56"/>
  </cols>
  <sheetData>
    <row r="1" s="56" customFormat="1" ht="22.5" customHeight="1" spans="2:5">
      <c r="B1" s="57" t="s">
        <v>75</v>
      </c>
      <c r="C1" s="58"/>
      <c r="D1" s="58"/>
      <c r="E1" s="58"/>
    </row>
    <row r="2" s="56" customFormat="1" ht="22.5" customHeight="1" spans="2:5">
      <c r="B2" s="58"/>
      <c r="C2" s="58"/>
      <c r="D2" s="58"/>
      <c r="E2" s="58"/>
    </row>
    <row r="4" s="56" customFormat="1" ht="62" customHeight="1" spans="2:20">
      <c r="B4" s="59" t="s">
        <v>1</v>
      </c>
      <c r="C4" s="60"/>
      <c r="D4" s="60"/>
      <c r="E4" s="61"/>
      <c r="F4" s="62"/>
      <c r="G4" s="62"/>
      <c r="H4" s="63" t="s">
        <v>2</v>
      </c>
      <c r="I4" s="155"/>
      <c r="J4" s="155"/>
      <c r="K4" s="156"/>
      <c r="L4" s="62"/>
      <c r="M4" s="62"/>
      <c r="N4" s="157"/>
      <c r="O4" s="62"/>
      <c r="P4" s="158" t="str">
        <f>_xlfn.DISPIMG("ID_DA4312AC85894956AA7CDE06ED97B8C4",1)</f>
        <v>=DISPIMG("ID_DA4312AC85894956AA7CDE06ED97B8C4",1)</v>
      </c>
      <c r="Q4" s="205"/>
      <c r="R4" s="62"/>
      <c r="S4" s="62"/>
      <c r="T4" s="62"/>
    </row>
    <row r="5" s="56" customFormat="1" spans="2:20">
      <c r="B5" s="64"/>
      <c r="C5" s="64"/>
      <c r="D5" s="64"/>
      <c r="E5" s="64"/>
      <c r="F5" s="62"/>
      <c r="G5" s="65"/>
      <c r="H5" s="66"/>
      <c r="I5" s="66"/>
      <c r="J5" s="66"/>
      <c r="K5" s="66"/>
      <c r="L5" s="65"/>
      <c r="M5" s="159"/>
      <c r="N5" s="62"/>
      <c r="O5" s="62"/>
      <c r="P5" s="62"/>
      <c r="Q5" s="62"/>
      <c r="R5" s="62"/>
      <c r="S5" s="62"/>
      <c r="T5" s="62"/>
    </row>
    <row r="6" s="56" customFormat="1" ht="15" spans="2:20">
      <c r="B6" s="64"/>
      <c r="C6" s="64"/>
      <c r="D6" s="64"/>
      <c r="E6" s="64"/>
      <c r="F6" s="62"/>
      <c r="G6" s="65"/>
      <c r="H6" s="66"/>
      <c r="I6" s="66"/>
      <c r="J6" s="66"/>
      <c r="K6" s="66"/>
      <c r="L6" s="160"/>
      <c r="M6" s="159"/>
      <c r="N6" s="62"/>
      <c r="O6" s="62"/>
      <c r="P6" s="62"/>
      <c r="Q6" s="62"/>
      <c r="R6" s="62"/>
      <c r="S6" s="62"/>
      <c r="T6" s="62"/>
    </row>
    <row r="7" s="56" customFormat="1" spans="2:20">
      <c r="B7" s="67" t="s">
        <v>3</v>
      </c>
      <c r="C7" s="68" t="s">
        <v>4</v>
      </c>
      <c r="D7" s="68"/>
      <c r="E7" s="69" t="s">
        <v>5</v>
      </c>
      <c r="F7" s="62"/>
      <c r="G7" s="62"/>
      <c r="H7" s="70" t="s">
        <v>6</v>
      </c>
      <c r="I7" s="161" t="s">
        <v>3</v>
      </c>
      <c r="J7" s="92" t="s">
        <v>5</v>
      </c>
      <c r="K7" s="162" t="s">
        <v>7</v>
      </c>
      <c r="L7" s="62"/>
      <c r="M7" s="159"/>
      <c r="N7" s="62"/>
      <c r="O7" s="62"/>
      <c r="P7" s="62"/>
      <c r="Q7" s="62"/>
      <c r="R7" s="62"/>
      <c r="S7" s="62"/>
      <c r="T7" s="62"/>
    </row>
    <row r="8" s="56" customFormat="1" spans="2:20">
      <c r="B8" s="71"/>
      <c r="C8" s="72"/>
      <c r="D8" s="72"/>
      <c r="E8" s="73"/>
      <c r="F8" s="62"/>
      <c r="G8" s="62"/>
      <c r="H8" s="74"/>
      <c r="I8" s="163"/>
      <c r="J8" s="163"/>
      <c r="K8" s="164"/>
      <c r="L8" s="62"/>
      <c r="M8" s="62"/>
      <c r="N8" s="62"/>
      <c r="O8" s="62"/>
      <c r="P8" s="62"/>
      <c r="Q8" s="62"/>
      <c r="R8" s="62"/>
      <c r="S8" s="62"/>
      <c r="T8" s="62"/>
    </row>
    <row r="9" s="56" customFormat="1" spans="2:20">
      <c r="B9" s="75" t="str">
        <f>I10&amp;"年"</f>
        <v>年</v>
      </c>
      <c r="C9" s="76" t="str">
        <f>J10&amp;"月"</f>
        <v>月</v>
      </c>
      <c r="D9" s="76" t="str">
        <f>K10&amp;"日"</f>
        <v>日</v>
      </c>
      <c r="E9" s="77">
        <f>K8</f>
        <v>0</v>
      </c>
      <c r="F9" s="62"/>
      <c r="G9" s="62"/>
      <c r="H9" s="70" t="s">
        <v>8</v>
      </c>
      <c r="I9" s="161" t="s">
        <v>9</v>
      </c>
      <c r="J9" s="92" t="s">
        <v>10</v>
      </c>
      <c r="K9" s="165" t="s">
        <v>11</v>
      </c>
      <c r="L9" s="62"/>
      <c r="M9" s="62"/>
      <c r="N9" s="62"/>
      <c r="O9" s="62"/>
      <c r="P9" s="62"/>
      <c r="Q9" s="62"/>
      <c r="R9" s="62"/>
      <c r="S9" s="62"/>
      <c r="T9" s="62"/>
    </row>
    <row r="10" s="56" customFormat="1" spans="2:20">
      <c r="B10" s="78" t="s">
        <v>76</v>
      </c>
      <c r="C10" s="79"/>
      <c r="D10" s="79"/>
      <c r="E10" s="80"/>
      <c r="F10" s="62"/>
      <c r="G10" s="62"/>
      <c r="H10" s="74"/>
      <c r="I10" s="163"/>
      <c r="J10" s="163"/>
      <c r="K10" s="166"/>
      <c r="L10" s="62"/>
      <c r="M10" s="62"/>
      <c r="N10" s="62"/>
      <c r="O10" s="62"/>
      <c r="P10" s="62"/>
      <c r="Q10" s="62"/>
      <c r="R10" s="62"/>
      <c r="S10" s="62"/>
      <c r="T10" s="62"/>
    </row>
    <row r="11" s="56" customFormat="1" customHeight="1" spans="2:20">
      <c r="B11" s="81"/>
      <c r="C11" s="82"/>
      <c r="D11" s="82"/>
      <c r="E11" s="83"/>
      <c r="F11" s="62"/>
      <c r="G11" s="62"/>
      <c r="H11" s="84"/>
      <c r="I11" s="167"/>
      <c r="J11" s="167"/>
      <c r="K11" s="167"/>
      <c r="L11" s="62"/>
      <c r="M11" s="62"/>
      <c r="N11" s="62"/>
      <c r="O11" s="62"/>
      <c r="P11" s="168"/>
      <c r="Q11" s="206"/>
      <c r="R11" s="206"/>
      <c r="S11" s="206"/>
      <c r="T11" s="206"/>
    </row>
    <row r="12" s="56" customFormat="1" spans="2:20">
      <c r="B12" s="71" t="s">
        <v>13</v>
      </c>
      <c r="C12" s="85" t="str">
        <f>I14&amp;" 与 "&amp;I15</f>
        <v> 与 </v>
      </c>
      <c r="D12" s="85"/>
      <c r="E12" s="73"/>
      <c r="F12" s="62"/>
      <c r="G12" s="62"/>
      <c r="H12" s="86" t="s">
        <v>14</v>
      </c>
      <c r="I12" s="169"/>
      <c r="J12" s="169"/>
      <c r="K12" s="170"/>
      <c r="L12" s="62"/>
      <c r="M12" s="62"/>
      <c r="N12" s="62"/>
      <c r="O12" s="62"/>
      <c r="P12" s="171" t="s">
        <v>15</v>
      </c>
      <c r="Q12" s="207"/>
      <c r="R12" s="208" t="s">
        <v>16</v>
      </c>
      <c r="S12" s="209"/>
      <c r="T12" s="210" t="s">
        <v>17</v>
      </c>
    </row>
    <row r="13" s="56" customFormat="1" spans="2:20">
      <c r="B13" s="71"/>
      <c r="C13" s="85"/>
      <c r="D13" s="85"/>
      <c r="E13" s="73"/>
      <c r="F13" s="62"/>
      <c r="G13" s="62"/>
      <c r="H13" s="87" t="s">
        <v>18</v>
      </c>
      <c r="I13" s="172" t="s">
        <v>19</v>
      </c>
      <c r="J13" s="172" t="s">
        <v>20</v>
      </c>
      <c r="K13" s="172" t="s">
        <v>21</v>
      </c>
      <c r="L13" s="62"/>
      <c r="M13" s="173"/>
      <c r="N13" s="62"/>
      <c r="O13" s="62"/>
      <c r="P13" s="174"/>
      <c r="Q13" s="211"/>
      <c r="R13" s="212" t="s">
        <v>22</v>
      </c>
      <c r="S13" s="213"/>
      <c r="T13" s="214" t="s">
        <v>23</v>
      </c>
    </row>
    <row r="14" s="56" customFormat="1" spans="2:20">
      <c r="B14" s="71"/>
      <c r="C14" s="85"/>
      <c r="D14" s="85"/>
      <c r="E14" s="73"/>
      <c r="F14" s="62"/>
      <c r="G14" s="62"/>
      <c r="H14" s="87"/>
      <c r="I14" s="175"/>
      <c r="J14" s="175"/>
      <c r="K14" s="175"/>
      <c r="L14" s="62"/>
      <c r="M14" s="62"/>
      <c r="N14" s="62"/>
      <c r="O14" s="62"/>
      <c r="P14" s="174"/>
      <c r="Q14" s="211"/>
      <c r="R14" s="212"/>
      <c r="S14" s="213"/>
      <c r="T14" s="214"/>
    </row>
    <row r="15" s="56" customFormat="1" ht="15" customHeight="1" spans="2:20">
      <c r="B15" s="71" t="s">
        <v>24</v>
      </c>
      <c r="C15" s="85">
        <f>J14</f>
        <v>0</v>
      </c>
      <c r="D15" s="85"/>
      <c r="E15" s="73"/>
      <c r="F15" s="62"/>
      <c r="G15" s="62"/>
      <c r="H15" s="87"/>
      <c r="I15" s="175"/>
      <c r="J15" s="175"/>
      <c r="K15" s="175"/>
      <c r="L15" s="62"/>
      <c r="M15" s="62"/>
      <c r="N15" s="62"/>
      <c r="O15" s="62"/>
      <c r="P15" s="176" t="s">
        <v>25</v>
      </c>
      <c r="Q15" s="215"/>
      <c r="R15" s="215"/>
      <c r="S15" s="215"/>
      <c r="T15" s="216"/>
    </row>
    <row r="16" s="56" customFormat="1" spans="2:20">
      <c r="B16" s="71"/>
      <c r="C16" s="85"/>
      <c r="D16" s="85"/>
      <c r="E16" s="73"/>
      <c r="F16" s="62"/>
      <c r="G16" s="62"/>
      <c r="H16" s="88" t="s">
        <v>26</v>
      </c>
      <c r="I16" s="177"/>
      <c r="J16" s="177"/>
      <c r="K16" s="178"/>
      <c r="L16" s="62"/>
      <c r="M16" s="62"/>
      <c r="N16" s="62"/>
      <c r="O16" s="62"/>
      <c r="P16" s="179"/>
      <c r="Q16" s="217"/>
      <c r="R16" s="217"/>
      <c r="S16" s="217"/>
      <c r="T16" s="218"/>
    </row>
    <row r="17" s="56" customFormat="1" spans="2:20">
      <c r="B17" s="71" t="s">
        <v>27</v>
      </c>
      <c r="C17" s="85">
        <f>K14</f>
        <v>0</v>
      </c>
      <c r="D17" s="85"/>
      <c r="E17" s="73"/>
      <c r="F17" s="62"/>
      <c r="G17" s="62"/>
      <c r="H17" s="89" t="s">
        <v>28</v>
      </c>
      <c r="I17" s="89"/>
      <c r="J17" s="180"/>
      <c r="K17" s="181"/>
      <c r="L17" s="62"/>
      <c r="M17" s="62"/>
      <c r="N17" s="62"/>
      <c r="O17" s="62"/>
      <c r="P17" s="179"/>
      <c r="Q17" s="217"/>
      <c r="R17" s="217"/>
      <c r="S17" s="217"/>
      <c r="T17" s="218"/>
    </row>
    <row r="18" s="56" customFormat="1" spans="2:20">
      <c r="B18" s="71"/>
      <c r="C18" s="85"/>
      <c r="D18" s="85"/>
      <c r="E18" s="73"/>
      <c r="F18" s="62"/>
      <c r="G18" s="62"/>
      <c r="H18" s="90" t="s">
        <v>29</v>
      </c>
      <c r="I18" s="90"/>
      <c r="J18" s="182"/>
      <c r="K18" s="183"/>
      <c r="L18" s="62"/>
      <c r="M18" s="62"/>
      <c r="N18" s="62"/>
      <c r="O18" s="62"/>
      <c r="P18" s="179"/>
      <c r="Q18" s="217"/>
      <c r="R18" s="217"/>
      <c r="S18" s="217"/>
      <c r="T18" s="218"/>
    </row>
    <row r="19" s="56" customFormat="1" spans="2:20">
      <c r="B19" s="91" t="s">
        <v>26</v>
      </c>
      <c r="C19" s="92"/>
      <c r="D19" s="92"/>
      <c r="E19" s="93"/>
      <c r="F19" s="62"/>
      <c r="G19" s="62"/>
      <c r="H19" s="89" t="s">
        <v>30</v>
      </c>
      <c r="I19" s="89"/>
      <c r="K19" s="184"/>
      <c r="L19" s="62"/>
      <c r="M19" s="62"/>
      <c r="N19" s="62"/>
      <c r="O19" s="62"/>
      <c r="P19" s="179"/>
      <c r="Q19" s="217"/>
      <c r="R19" s="217"/>
      <c r="S19" s="217"/>
      <c r="T19" s="218"/>
    </row>
    <row r="20" s="56" customFormat="1" spans="2:20">
      <c r="B20" s="94" t="str">
        <f>IF(K14="监管者",I8,IF(K14="求生者",J8,""))&amp;"求生者"</f>
        <v>求生者</v>
      </c>
      <c r="C20" s="62" t="s">
        <v>4</v>
      </c>
      <c r="D20" s="62"/>
      <c r="E20" s="95" t="str">
        <f>IF(K14="监管者",J8,IF(K14="求生者",I8,""))&amp;"监管者"</f>
        <v>监管者</v>
      </c>
      <c r="F20" s="62"/>
      <c r="G20" s="62"/>
      <c r="H20" s="90" t="s">
        <v>31</v>
      </c>
      <c r="I20" s="90"/>
      <c r="J20" s="182"/>
      <c r="K20" s="183"/>
      <c r="L20" s="62"/>
      <c r="M20" s="62"/>
      <c r="N20" s="62"/>
      <c r="O20" s="62"/>
      <c r="P20" s="179"/>
      <c r="Q20" s="217"/>
      <c r="R20" s="217"/>
      <c r="S20" s="217"/>
      <c r="T20" s="218"/>
    </row>
    <row r="21" s="56" customFormat="1" spans="2:20">
      <c r="B21" s="96" t="s">
        <v>32</v>
      </c>
      <c r="C21" s="97"/>
      <c r="D21" s="97"/>
      <c r="E21" s="98"/>
      <c r="F21" s="62"/>
      <c r="G21" s="62"/>
      <c r="H21" s="89" t="s">
        <v>30</v>
      </c>
      <c r="I21" s="89"/>
      <c r="K21" s="184"/>
      <c r="L21" s="62"/>
      <c r="M21" s="62"/>
      <c r="N21" s="62"/>
      <c r="O21" s="62"/>
      <c r="P21" s="179"/>
      <c r="Q21" s="217"/>
      <c r="R21" s="217"/>
      <c r="S21" s="217"/>
      <c r="T21" s="218"/>
    </row>
    <row r="22" s="56" customFormat="1" spans="2:20">
      <c r="B22" s="99" t="s">
        <v>28</v>
      </c>
      <c r="C22" s="100"/>
      <c r="D22" s="100">
        <f t="shared" ref="D22:D28" si="0">J17</f>
        <v>0</v>
      </c>
      <c r="E22" s="101">
        <f>K17</f>
        <v>0</v>
      </c>
      <c r="F22" s="62"/>
      <c r="G22" s="62"/>
      <c r="H22" s="90" t="s">
        <v>31</v>
      </c>
      <c r="I22" s="90"/>
      <c r="J22" s="185"/>
      <c r="K22" s="186"/>
      <c r="L22" s="62"/>
      <c r="M22" s="62"/>
      <c r="N22" s="62"/>
      <c r="O22" s="62"/>
      <c r="P22" s="179"/>
      <c r="Q22" s="217"/>
      <c r="R22" s="217"/>
      <c r="S22" s="217"/>
      <c r="T22" s="218"/>
    </row>
    <row r="23" s="56" customFormat="1" ht="15" spans="2:20">
      <c r="B23" s="102" t="s">
        <v>29</v>
      </c>
      <c r="C23" s="103"/>
      <c r="D23" s="103">
        <f t="shared" si="0"/>
        <v>0</v>
      </c>
      <c r="E23" s="104">
        <f>K18</f>
        <v>0</v>
      </c>
      <c r="F23" s="62"/>
      <c r="G23" s="62"/>
      <c r="H23" s="89" t="s">
        <v>33</v>
      </c>
      <c r="I23" s="89"/>
      <c r="J23" s="163"/>
      <c r="K23" s="166"/>
      <c r="L23" s="62"/>
      <c r="M23" s="62"/>
      <c r="N23" s="62"/>
      <c r="O23" s="62"/>
      <c r="P23" s="187"/>
      <c r="Q23" s="219"/>
      <c r="R23" s="219"/>
      <c r="S23" s="219"/>
      <c r="T23" s="220"/>
    </row>
    <row r="24" s="56" customFormat="1" spans="2:15">
      <c r="B24" s="99" t="s">
        <v>30</v>
      </c>
      <c r="C24" s="100"/>
      <c r="D24" s="100">
        <f t="shared" si="0"/>
        <v>0</v>
      </c>
      <c r="E24" s="101"/>
      <c r="F24" s="62"/>
      <c r="G24" s="62"/>
      <c r="H24" s="105" t="s">
        <v>34</v>
      </c>
      <c r="I24" s="188"/>
      <c r="J24" s="189"/>
      <c r="K24" s="189"/>
      <c r="L24" s="62"/>
      <c r="M24" s="62"/>
      <c r="N24" s="62"/>
      <c r="O24" s="62"/>
    </row>
    <row r="25" s="56" customFormat="1" spans="2:15">
      <c r="B25" s="102" t="s">
        <v>31</v>
      </c>
      <c r="C25" s="103"/>
      <c r="D25" s="103">
        <f t="shared" si="0"/>
        <v>0</v>
      </c>
      <c r="E25" s="104"/>
      <c r="F25" s="62"/>
      <c r="G25" s="62"/>
      <c r="H25" s="106" t="s">
        <v>35</v>
      </c>
      <c r="I25" s="190"/>
      <c r="J25" s="177"/>
      <c r="K25" s="178"/>
      <c r="L25" s="62"/>
      <c r="M25" s="62"/>
      <c r="N25" s="62"/>
      <c r="O25" s="62"/>
    </row>
    <row r="26" s="56" customFormat="1" spans="2:15">
      <c r="B26" s="99" t="s">
        <v>30</v>
      </c>
      <c r="C26" s="100"/>
      <c r="D26" s="100">
        <f t="shared" si="0"/>
        <v>0</v>
      </c>
      <c r="E26" s="101"/>
      <c r="F26" s="62"/>
      <c r="G26" s="62"/>
      <c r="H26" s="89" t="s">
        <v>28</v>
      </c>
      <c r="I26" s="89"/>
      <c r="J26" s="191"/>
      <c r="K26" s="184"/>
      <c r="L26" s="62"/>
      <c r="M26" s="62"/>
      <c r="N26" s="62"/>
      <c r="O26" s="62"/>
    </row>
    <row r="27" s="56" customFormat="1" spans="2:15">
      <c r="B27" s="102" t="s">
        <v>31</v>
      </c>
      <c r="C27" s="103"/>
      <c r="D27" s="103">
        <f t="shared" si="0"/>
        <v>0</v>
      </c>
      <c r="E27" s="104"/>
      <c r="F27" s="62"/>
      <c r="G27" s="62"/>
      <c r="H27" s="90" t="s">
        <v>31</v>
      </c>
      <c r="I27" s="90"/>
      <c r="J27" s="182"/>
      <c r="K27" s="183"/>
      <c r="L27" s="62"/>
      <c r="M27" s="62"/>
      <c r="N27" s="62"/>
      <c r="O27" s="62"/>
    </row>
    <row r="28" s="56" customFormat="1" spans="2:15">
      <c r="B28" s="107" t="s">
        <v>33</v>
      </c>
      <c r="C28" s="108"/>
      <c r="D28" s="108">
        <f t="shared" si="0"/>
        <v>0</v>
      </c>
      <c r="E28" s="109"/>
      <c r="F28" s="62"/>
      <c r="G28" s="62"/>
      <c r="H28" s="89" t="s">
        <v>30</v>
      </c>
      <c r="I28" s="89"/>
      <c r="K28" s="184"/>
      <c r="L28" s="62"/>
      <c r="M28" s="62"/>
      <c r="N28" s="62"/>
      <c r="O28" s="62"/>
    </row>
    <row r="29" s="56" customFormat="1" ht="15" spans="2:15">
      <c r="B29" s="110" t="s">
        <v>36</v>
      </c>
      <c r="C29" s="111"/>
      <c r="D29" s="112" t="str">
        <f>BO5计算表!K8</f>
        <v/>
      </c>
      <c r="E29" s="113" t="str">
        <f>BO5计算表!L8</f>
        <v/>
      </c>
      <c r="F29" s="62"/>
      <c r="G29" s="62"/>
      <c r="H29" s="90" t="s">
        <v>31</v>
      </c>
      <c r="I29" s="90"/>
      <c r="J29" s="182"/>
      <c r="K29" s="183"/>
      <c r="L29" s="62"/>
      <c r="M29" s="62"/>
      <c r="N29" s="62"/>
      <c r="O29" s="62"/>
    </row>
    <row r="30" s="56" customFormat="1" spans="2:20">
      <c r="B30" s="91" t="s">
        <v>35</v>
      </c>
      <c r="C30" s="92"/>
      <c r="D30" s="92"/>
      <c r="E30" s="93"/>
      <c r="F30" s="62"/>
      <c r="G30" s="62"/>
      <c r="H30" s="89" t="s">
        <v>30</v>
      </c>
      <c r="I30" s="89"/>
      <c r="K30" s="184"/>
      <c r="L30" s="62"/>
      <c r="M30" s="62"/>
      <c r="N30" s="62"/>
      <c r="O30" s="62"/>
      <c r="P30" s="192" t="s">
        <v>37</v>
      </c>
      <c r="Q30" s="221"/>
      <c r="R30" s="222" t="s">
        <v>38</v>
      </c>
      <c r="S30" s="222"/>
      <c r="T30" s="223"/>
    </row>
    <row r="31" s="56" customFormat="1" spans="2:20">
      <c r="B31" s="94" t="str">
        <f>IF(K14="监管者",J8,IF(K14="求生者",I8,""))&amp;"求生者"</f>
        <v>求生者</v>
      </c>
      <c r="C31" s="62" t="s">
        <v>4</v>
      </c>
      <c r="D31" s="62"/>
      <c r="E31" s="95" t="str">
        <f>IF(K14="监管者",I8,IF(K14="求生者",J8,""))&amp;"监管者"</f>
        <v>监管者</v>
      </c>
      <c r="F31" s="62"/>
      <c r="G31" s="62"/>
      <c r="H31" s="90" t="s">
        <v>31</v>
      </c>
      <c r="I31" s="90"/>
      <c r="J31" s="182"/>
      <c r="K31" s="183"/>
      <c r="L31" s="62"/>
      <c r="M31" s="62"/>
      <c r="N31" s="62"/>
      <c r="O31" s="62"/>
      <c r="P31" s="193"/>
      <c r="Q31" s="224"/>
      <c r="R31" s="225" t="s">
        <v>39</v>
      </c>
      <c r="S31" s="225"/>
      <c r="T31" s="226"/>
    </row>
    <row r="32" s="56" customFormat="1" ht="15" spans="2:20">
      <c r="B32" s="114" t="s">
        <v>32</v>
      </c>
      <c r="C32" s="115"/>
      <c r="D32" s="115"/>
      <c r="E32" s="116"/>
      <c r="F32" s="62"/>
      <c r="G32" s="62"/>
      <c r="H32" s="89" t="s">
        <v>33</v>
      </c>
      <c r="I32" s="89"/>
      <c r="J32" s="163"/>
      <c r="K32" s="166"/>
      <c r="L32" s="62"/>
      <c r="M32" s="62"/>
      <c r="N32" s="62"/>
      <c r="O32" s="62"/>
      <c r="P32" s="193"/>
      <c r="Q32" s="224"/>
      <c r="R32" s="227"/>
      <c r="S32" s="227"/>
      <c r="T32" s="228"/>
    </row>
    <row r="33" s="56" customFormat="1" spans="2:20">
      <c r="B33" s="99" t="s">
        <v>28</v>
      </c>
      <c r="C33" s="100"/>
      <c r="D33" s="100">
        <f t="shared" ref="D33:D39" si="1">J26</f>
        <v>0</v>
      </c>
      <c r="E33" s="101">
        <f>K26</f>
        <v>0</v>
      </c>
      <c r="F33" s="62"/>
      <c r="G33" s="62"/>
      <c r="H33" s="89" t="s">
        <v>34</v>
      </c>
      <c r="I33" s="89"/>
      <c r="J33" s="194"/>
      <c r="K33" s="195"/>
      <c r="L33" s="62"/>
      <c r="M33" s="62"/>
      <c r="N33" s="62"/>
      <c r="O33" s="62"/>
      <c r="P33" s="196" t="s">
        <v>40</v>
      </c>
      <c r="Q33" s="229"/>
      <c r="R33" s="229"/>
      <c r="S33" s="229"/>
      <c r="T33" s="230"/>
    </row>
    <row r="34" s="56" customFormat="1" spans="2:20">
      <c r="B34" s="102" t="s">
        <v>31</v>
      </c>
      <c r="C34" s="103"/>
      <c r="D34" s="103">
        <f t="shared" si="1"/>
        <v>0</v>
      </c>
      <c r="E34" s="104">
        <f>K27</f>
        <v>0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197" t="s">
        <v>41</v>
      </c>
      <c r="Q34" s="231"/>
      <c r="R34" s="231"/>
      <c r="S34" s="231"/>
      <c r="T34" s="232"/>
    </row>
    <row r="35" s="56" customFormat="1" spans="2:20">
      <c r="B35" s="99" t="s">
        <v>30</v>
      </c>
      <c r="C35" s="100"/>
      <c r="D35" s="100">
        <f t="shared" si="1"/>
        <v>0</v>
      </c>
      <c r="E35" s="10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197"/>
      <c r="Q35" s="231"/>
      <c r="R35" s="231"/>
      <c r="S35" s="231"/>
      <c r="T35" s="232"/>
    </row>
    <row r="36" s="56" customFormat="1" spans="2:20">
      <c r="B36" s="102" t="s">
        <v>31</v>
      </c>
      <c r="C36" s="103"/>
      <c r="D36" s="103">
        <f t="shared" si="1"/>
        <v>0</v>
      </c>
      <c r="E36" s="104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197"/>
      <c r="Q36" s="231"/>
      <c r="R36" s="231"/>
      <c r="S36" s="231"/>
      <c r="T36" s="232"/>
    </row>
    <row r="37" s="56" customFormat="1" spans="2:20">
      <c r="B37" s="99" t="s">
        <v>30</v>
      </c>
      <c r="C37" s="100"/>
      <c r="D37" s="100">
        <f t="shared" si="1"/>
        <v>0</v>
      </c>
      <c r="E37" s="10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197"/>
      <c r="Q37" s="231"/>
      <c r="R37" s="231"/>
      <c r="S37" s="231"/>
      <c r="T37" s="232"/>
    </row>
    <row r="38" s="56" customFormat="1" ht="15" spans="2:20">
      <c r="B38" s="102" t="s">
        <v>31</v>
      </c>
      <c r="C38" s="103"/>
      <c r="D38" s="103">
        <f t="shared" si="1"/>
        <v>0</v>
      </c>
      <c r="E38" s="104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198"/>
      <c r="Q38" s="233"/>
      <c r="R38" s="233"/>
      <c r="S38" s="233"/>
      <c r="T38" s="234"/>
    </row>
    <row r="39" s="56" customFormat="1" spans="2:20">
      <c r="B39" s="107" t="s">
        <v>33</v>
      </c>
      <c r="C39" s="108"/>
      <c r="D39" s="108">
        <f t="shared" si="1"/>
        <v>0</v>
      </c>
      <c r="E39" s="109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199" t="s">
        <v>42</v>
      </c>
      <c r="Q39" s="235"/>
      <c r="R39" s="235"/>
      <c r="S39" s="235"/>
      <c r="T39" s="236"/>
    </row>
    <row r="40" s="56" customFormat="1" spans="2:20">
      <c r="B40" s="110" t="s">
        <v>36</v>
      </c>
      <c r="C40" s="111"/>
      <c r="D40" s="117" t="str">
        <f>BO5计算表!K9</f>
        <v/>
      </c>
      <c r="E40" s="113" t="str">
        <f>BO5计算表!L9</f>
        <v/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197" t="s">
        <v>43</v>
      </c>
      <c r="Q40" s="231"/>
      <c r="R40" s="231"/>
      <c r="S40" s="231"/>
      <c r="T40" s="232"/>
    </row>
    <row r="41" s="56" customFormat="1" spans="2:20">
      <c r="B41" s="118" t="s">
        <v>44</v>
      </c>
      <c r="C41" s="119"/>
      <c r="D41" s="120" t="str">
        <f>IF(BO5计算表!M8="","数据缺失",BO5计算表!M8&amp;"："&amp;BO5计算表!N8)</f>
        <v>数据缺失</v>
      </c>
      <c r="E41" s="121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197"/>
      <c r="Q41" s="231"/>
      <c r="R41" s="231"/>
      <c r="S41" s="231"/>
      <c r="T41" s="232"/>
    </row>
    <row r="42" s="56" customFormat="1" spans="2:20">
      <c r="B42" s="118"/>
      <c r="C42" s="119"/>
      <c r="D42" s="119"/>
      <c r="E42" s="12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133" t="s">
        <v>45</v>
      </c>
      <c r="Q42" s="62"/>
      <c r="R42" s="62"/>
      <c r="S42" s="62" t="s">
        <v>46</v>
      </c>
      <c r="T42" s="138" t="s">
        <v>47</v>
      </c>
    </row>
    <row r="43" s="56" customFormat="1" spans="2:20">
      <c r="B43" s="118" t="s">
        <v>48</v>
      </c>
      <c r="C43" s="119"/>
      <c r="D43" s="119" t="str">
        <f>IFERROR((BO5计算表!K8+BO5计算表!K9)&amp;"："&amp;(BO5计算表!L8+BO5计算表!L9),"数据缺失")</f>
        <v>数据缺失</v>
      </c>
      <c r="E43" s="121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133"/>
      <c r="Q43" s="62"/>
      <c r="R43" s="62"/>
      <c r="S43" s="62"/>
      <c r="T43" s="138"/>
    </row>
    <row r="44" s="56" customFormat="1" ht="15" spans="2:20">
      <c r="B44" s="122"/>
      <c r="C44" s="123"/>
      <c r="D44" s="123"/>
      <c r="E44" s="124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133"/>
      <c r="Q44" s="62"/>
      <c r="R44" s="62"/>
      <c r="S44" s="62"/>
      <c r="T44" s="138"/>
    </row>
    <row r="45" s="56" customFormat="1" spans="2:20"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133" t="s">
        <v>49</v>
      </c>
      <c r="Q45" s="62"/>
      <c r="R45" s="62" t="s">
        <v>50</v>
      </c>
      <c r="S45" s="62">
        <v>5</v>
      </c>
      <c r="T45" s="138">
        <v>0</v>
      </c>
    </row>
    <row r="46" s="56" customFormat="1" spans="2:20"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133"/>
      <c r="Q46" s="62"/>
      <c r="R46" s="62" t="s">
        <v>51</v>
      </c>
      <c r="S46" s="62">
        <v>3</v>
      </c>
      <c r="T46" s="138">
        <v>1</v>
      </c>
    </row>
    <row r="47" s="56" customFormat="1" ht="15" spans="2:20"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133"/>
      <c r="Q47" s="62"/>
      <c r="R47" s="62" t="s">
        <v>52</v>
      </c>
      <c r="S47" s="56">
        <v>2</v>
      </c>
      <c r="T47" s="138">
        <v>2</v>
      </c>
    </row>
    <row r="48" s="56" customFormat="1" spans="2:20">
      <c r="B48" s="125" t="s">
        <v>77</v>
      </c>
      <c r="C48" s="126"/>
      <c r="D48" s="126"/>
      <c r="E48" s="127"/>
      <c r="F48" s="62"/>
      <c r="G48" s="62"/>
      <c r="H48" s="128" t="s">
        <v>54</v>
      </c>
      <c r="I48" s="128"/>
      <c r="J48" s="128"/>
      <c r="K48" s="128"/>
      <c r="L48" s="62"/>
      <c r="M48" s="62"/>
      <c r="N48" s="62"/>
      <c r="O48" s="62"/>
      <c r="P48" s="133"/>
      <c r="Q48" s="62"/>
      <c r="R48" s="62" t="s">
        <v>55</v>
      </c>
      <c r="S48" s="62">
        <v>1</v>
      </c>
      <c r="T48" s="138">
        <v>3</v>
      </c>
    </row>
    <row r="49" s="56" customFormat="1" ht="15" spans="2:20">
      <c r="B49" s="129"/>
      <c r="C49" s="130"/>
      <c r="D49" s="130"/>
      <c r="E49" s="131"/>
      <c r="F49" s="62"/>
      <c r="G49" s="62"/>
      <c r="H49" s="132" t="s">
        <v>18</v>
      </c>
      <c r="I49" s="200" t="s">
        <v>56</v>
      </c>
      <c r="J49" s="200" t="s">
        <v>57</v>
      </c>
      <c r="K49" s="200" t="s">
        <v>58</v>
      </c>
      <c r="L49" s="62"/>
      <c r="M49" s="62"/>
      <c r="N49" s="62"/>
      <c r="O49" s="62"/>
      <c r="P49" s="201"/>
      <c r="Q49" s="237"/>
      <c r="R49" s="237" t="s">
        <v>59</v>
      </c>
      <c r="S49" s="237">
        <v>0</v>
      </c>
      <c r="T49" s="238">
        <v>5</v>
      </c>
    </row>
    <row r="50" s="56" customFormat="1" spans="2:15">
      <c r="B50" s="133" t="s">
        <v>60</v>
      </c>
      <c r="C50" s="85">
        <f>I50</f>
        <v>0</v>
      </c>
      <c r="D50" s="85"/>
      <c r="E50" s="134"/>
      <c r="F50" s="62"/>
      <c r="G50" s="62"/>
      <c r="H50" s="135"/>
      <c r="I50" s="164"/>
      <c r="J50" s="164"/>
      <c r="K50" s="164"/>
      <c r="L50" s="62"/>
      <c r="M50" s="62"/>
      <c r="N50" s="62"/>
      <c r="O50" s="62"/>
    </row>
    <row r="51" s="56" customFormat="1" spans="2:20">
      <c r="B51" s="133"/>
      <c r="C51" s="85"/>
      <c r="D51" s="85"/>
      <c r="E51" s="134"/>
      <c r="F51" s="62"/>
      <c r="G51" s="62"/>
      <c r="H51" s="106" t="s">
        <v>26</v>
      </c>
      <c r="I51" s="202"/>
      <c r="J51" s="202"/>
      <c r="K51" s="203"/>
      <c r="L51" s="62"/>
      <c r="Q51" s="62"/>
      <c r="R51" s="62"/>
      <c r="S51" s="62"/>
      <c r="T51" s="62"/>
    </row>
    <row r="52" s="56" customFormat="1" spans="2:20">
      <c r="B52" s="133" t="s">
        <v>61</v>
      </c>
      <c r="C52" s="85">
        <f>J50</f>
        <v>0</v>
      </c>
      <c r="D52" s="85"/>
      <c r="E52" s="134"/>
      <c r="F52" s="62"/>
      <c r="G52" s="62"/>
      <c r="H52" s="89" t="s">
        <v>28</v>
      </c>
      <c r="I52" s="89"/>
      <c r="J52" s="180"/>
      <c r="K52" s="181"/>
      <c r="L52" s="62"/>
      <c r="Q52" s="62"/>
      <c r="R52" s="62"/>
      <c r="S52" s="62"/>
      <c r="T52" s="62"/>
    </row>
    <row r="53" s="56" customFormat="1" spans="2:20">
      <c r="B53" s="133"/>
      <c r="C53" s="85"/>
      <c r="D53" s="85"/>
      <c r="E53" s="134"/>
      <c r="F53" s="62"/>
      <c r="G53" s="62"/>
      <c r="H53" s="89" t="s">
        <v>62</v>
      </c>
      <c r="I53" s="89"/>
      <c r="K53" s="184"/>
      <c r="L53" s="62"/>
      <c r="Q53" s="62"/>
      <c r="R53" s="62"/>
      <c r="S53" s="62"/>
      <c r="T53" s="62"/>
    </row>
    <row r="54" s="56" customFormat="1" spans="2:20">
      <c r="B54" s="133" t="s">
        <v>63</v>
      </c>
      <c r="C54" s="85">
        <f>K50</f>
        <v>0</v>
      </c>
      <c r="D54" s="85"/>
      <c r="E54" s="134"/>
      <c r="F54" s="62"/>
      <c r="G54" s="62"/>
      <c r="H54" s="90" t="s">
        <v>29</v>
      </c>
      <c r="I54" s="90"/>
      <c r="J54" s="182"/>
      <c r="K54" s="183"/>
      <c r="L54" s="62"/>
      <c r="Q54" s="62"/>
      <c r="R54" s="62"/>
      <c r="S54" s="62"/>
      <c r="T54" s="62"/>
    </row>
    <row r="55" s="56" customFormat="1" spans="2:20">
      <c r="B55" s="133"/>
      <c r="C55" s="85"/>
      <c r="D55" s="85"/>
      <c r="E55" s="134"/>
      <c r="F55" s="62"/>
      <c r="G55" s="62"/>
      <c r="H55" s="89" t="s">
        <v>30</v>
      </c>
      <c r="I55" s="89"/>
      <c r="K55" s="184"/>
      <c r="L55" s="62"/>
      <c r="Q55" s="62"/>
      <c r="R55" s="62"/>
      <c r="S55" s="62"/>
      <c r="T55" s="62"/>
    </row>
    <row r="56" s="56" customFormat="1" spans="2:20">
      <c r="B56" s="136" t="s">
        <v>26</v>
      </c>
      <c r="C56" s="92"/>
      <c r="D56" s="92"/>
      <c r="E56" s="137"/>
      <c r="F56" s="62"/>
      <c r="G56" s="62"/>
      <c r="H56" s="90" t="s">
        <v>31</v>
      </c>
      <c r="I56" s="90"/>
      <c r="J56" s="182"/>
      <c r="K56" s="183"/>
      <c r="L56" s="62"/>
      <c r="Q56" s="62"/>
      <c r="R56" s="62"/>
      <c r="S56" s="62"/>
      <c r="T56" s="62"/>
    </row>
    <row r="57" s="56" customFormat="1" spans="2:20">
      <c r="B57" s="133" t="str">
        <f>IF(K50="监管者",J8,IF(K50="求生者",I8,""))&amp;"求生者"</f>
        <v>求生者</v>
      </c>
      <c r="C57" s="62" t="s">
        <v>4</v>
      </c>
      <c r="D57" s="62"/>
      <c r="E57" s="138" t="str">
        <f>IF(K50="监管者",I8,IF(K50="求生者",J8,""))&amp;"监管者"</f>
        <v>监管者</v>
      </c>
      <c r="F57" s="62"/>
      <c r="G57" s="62"/>
      <c r="H57" s="89" t="s">
        <v>30</v>
      </c>
      <c r="I57" s="89"/>
      <c r="K57" s="184"/>
      <c r="L57" s="62"/>
      <c r="Q57" s="62"/>
      <c r="R57" s="62"/>
      <c r="S57" s="62"/>
      <c r="T57" s="62"/>
    </row>
    <row r="58" s="56" customFormat="1" spans="2:20">
      <c r="B58" s="139" t="s">
        <v>64</v>
      </c>
      <c r="C58" s="140"/>
      <c r="D58" s="140"/>
      <c r="E58" s="141"/>
      <c r="F58" s="62"/>
      <c r="G58" s="62"/>
      <c r="H58" s="90" t="s">
        <v>31</v>
      </c>
      <c r="I58" s="90"/>
      <c r="J58" s="182"/>
      <c r="K58" s="183"/>
      <c r="L58" s="62"/>
      <c r="Q58" s="62"/>
      <c r="R58" s="62"/>
      <c r="S58" s="62"/>
      <c r="T58" s="62"/>
    </row>
    <row r="59" s="56" customFormat="1" spans="2:20">
      <c r="B59" s="142" t="str">
        <f>IF(AND(K14="求生者",K50="监管者"),D23,IF(AND(K14="监管者",K50="求生者"),D23,IF(AND(K14="求生者",K50="求生者"),D34,IF(AND(K14="监管者",K50="监管者"),D34,""))))</f>
        <v/>
      </c>
      <c r="C59" s="143" t="str">
        <f>IF(AND(K14="求生者",K50="监管者"),E23,IF(AND(K14="监管者",K50="求生者"),E23,IF(AND(K14="求生者",K50="求生者"),E34,IF(AND(K14="监管者",K50="监管者"),E34,""))))</f>
        <v/>
      </c>
      <c r="D59" s="143" t="str">
        <f>IF(AND(K14="求生者",K50="监管者"),D25,IF(AND(K14="监管者",K50="求生者"),D25,IF(AND(K14="求生者",K50="求生者"),D36,IF(AND(K14="监管者",K50="监管者"),D36,""))))</f>
        <v/>
      </c>
      <c r="E59" s="144" t="str">
        <f>IF(AND(K14="求生者",K50="监管者"),D27,IF(AND(K14="监管者",K50="求生者"),D27,IF(AND(K14="求生者",K50="求生者"),D38,IF(AND(K14="监管者",K50="监管者"),D38,""))))</f>
        <v/>
      </c>
      <c r="F59" s="62"/>
      <c r="G59" s="62"/>
      <c r="H59" s="89" t="s">
        <v>33</v>
      </c>
      <c r="I59" s="89"/>
      <c r="J59" s="163"/>
      <c r="K59" s="166"/>
      <c r="L59" s="62"/>
      <c r="Q59" s="62"/>
      <c r="R59" s="62"/>
      <c r="S59" s="62"/>
      <c r="T59" s="62"/>
    </row>
    <row r="60" s="56" customFormat="1" spans="2:20">
      <c r="B60" s="145" t="str">
        <f>IF(AND(K14="求生者",K50="监管者"),D28,IF(AND(K14="监管者",K50="求生者"),D28,IF(AND(K14="求生者",K50="求生者"),D39,IF(AND(K14="监管者",K50="监管者"),D39,""))))</f>
        <v/>
      </c>
      <c r="C60" s="146"/>
      <c r="D60" s="146"/>
      <c r="E60" s="147"/>
      <c r="F60" s="62"/>
      <c r="G60" s="62"/>
      <c r="H60" s="89" t="s">
        <v>34</v>
      </c>
      <c r="I60" s="89"/>
      <c r="J60" s="204"/>
      <c r="K60" s="195"/>
      <c r="L60" s="62"/>
      <c r="Q60" s="62"/>
      <c r="R60" s="62"/>
      <c r="S60" s="62"/>
      <c r="T60" s="62"/>
    </row>
    <row r="61" s="56" customFormat="1" spans="2:20">
      <c r="B61" s="148" t="s">
        <v>28</v>
      </c>
      <c r="C61" s="100"/>
      <c r="D61" s="100">
        <f t="shared" ref="D61:D68" si="2">J52</f>
        <v>0</v>
      </c>
      <c r="E61" s="149">
        <f>K52</f>
        <v>0</v>
      </c>
      <c r="F61" s="62"/>
      <c r="G61" s="62"/>
      <c r="L61" s="62"/>
      <c r="Q61" s="62"/>
      <c r="R61" s="62"/>
      <c r="S61" s="62"/>
      <c r="T61" s="62"/>
    </row>
    <row r="62" s="56" customFormat="1" spans="2:20">
      <c r="B62" s="150" t="s">
        <v>62</v>
      </c>
      <c r="C62" s="151"/>
      <c r="D62" s="151">
        <f t="shared" si="2"/>
        <v>0</v>
      </c>
      <c r="E62" s="152"/>
      <c r="F62" s="62"/>
      <c r="G62" s="62"/>
      <c r="L62" s="62"/>
      <c r="Q62" s="62"/>
      <c r="R62" s="62"/>
      <c r="S62" s="62"/>
      <c r="T62" s="62"/>
    </row>
    <row r="63" s="56" customFormat="1" spans="2:20">
      <c r="B63" s="153" t="s">
        <v>29</v>
      </c>
      <c r="C63" s="103"/>
      <c r="D63" s="103">
        <f t="shared" si="2"/>
        <v>0</v>
      </c>
      <c r="E63" s="154">
        <f>K54</f>
        <v>0</v>
      </c>
      <c r="F63" s="62"/>
      <c r="G63" s="62"/>
      <c r="L63" s="62"/>
      <c r="M63" s="62"/>
      <c r="N63" s="62"/>
      <c r="O63" s="62"/>
      <c r="P63" s="62"/>
      <c r="Q63" s="62"/>
      <c r="R63" s="62"/>
      <c r="S63" s="62"/>
      <c r="T63" s="62"/>
    </row>
    <row r="64" s="56" customFormat="1" spans="2:20">
      <c r="B64" s="148" t="s">
        <v>30</v>
      </c>
      <c r="C64" s="100"/>
      <c r="D64" s="100">
        <f t="shared" si="2"/>
        <v>0</v>
      </c>
      <c r="E64" s="149"/>
      <c r="F64" s="62"/>
      <c r="G64" s="62"/>
      <c r="L64" s="62"/>
      <c r="M64" s="62"/>
      <c r="N64" s="62"/>
      <c r="O64" s="62"/>
      <c r="P64" s="62"/>
      <c r="Q64" s="62"/>
      <c r="R64" s="62"/>
      <c r="S64" s="62"/>
      <c r="T64" s="62"/>
    </row>
    <row r="65" s="56" customFormat="1" spans="2:20">
      <c r="B65" s="153" t="s">
        <v>31</v>
      </c>
      <c r="C65" s="103"/>
      <c r="D65" s="103">
        <f t="shared" si="2"/>
        <v>0</v>
      </c>
      <c r="E65" s="154"/>
      <c r="F65" s="62"/>
      <c r="G65" s="62"/>
      <c r="L65" s="62"/>
      <c r="M65" s="62"/>
      <c r="N65" s="62"/>
      <c r="O65" s="62"/>
      <c r="P65" s="62"/>
      <c r="Q65" s="62"/>
      <c r="R65" s="62"/>
      <c r="S65" s="62"/>
      <c r="T65" s="62"/>
    </row>
    <row r="66" s="56" customFormat="1" spans="2:20">
      <c r="B66" s="148" t="s">
        <v>30</v>
      </c>
      <c r="C66" s="100"/>
      <c r="D66" s="100">
        <f t="shared" si="2"/>
        <v>0</v>
      </c>
      <c r="E66" s="149"/>
      <c r="F66" s="62"/>
      <c r="G66" s="62"/>
      <c r="L66" s="62"/>
      <c r="M66" s="62"/>
      <c r="N66" s="62"/>
      <c r="O66" s="62"/>
      <c r="P66" s="62"/>
      <c r="Q66" s="62"/>
      <c r="R66" s="62"/>
      <c r="S66" s="62"/>
      <c r="T66" s="62"/>
    </row>
    <row r="67" s="56" customFormat="1" spans="2:20">
      <c r="B67" s="153" t="s">
        <v>31</v>
      </c>
      <c r="C67" s="103"/>
      <c r="D67" s="103">
        <f t="shared" si="2"/>
        <v>0</v>
      </c>
      <c r="E67" s="154"/>
      <c r="F67" s="62"/>
      <c r="G67" s="62"/>
      <c r="L67" s="62"/>
      <c r="M67" s="62"/>
      <c r="N67" s="62"/>
      <c r="O67" s="62"/>
      <c r="P67" s="62"/>
      <c r="Q67" s="62"/>
      <c r="R67" s="62"/>
      <c r="S67" s="62"/>
      <c r="T67" s="62"/>
    </row>
    <row r="68" s="56" customFormat="1" spans="2:20">
      <c r="B68" s="239" t="s">
        <v>33</v>
      </c>
      <c r="C68" s="108"/>
      <c r="D68" s="108">
        <f t="shared" si="2"/>
        <v>0</v>
      </c>
      <c r="E68" s="240"/>
      <c r="F68" s="62"/>
      <c r="G68" s="62"/>
      <c r="L68" s="62"/>
      <c r="M68" s="62"/>
      <c r="N68" s="62"/>
      <c r="O68" s="62"/>
      <c r="P68" s="62"/>
      <c r="Q68" s="62"/>
      <c r="R68" s="62"/>
      <c r="S68" s="62"/>
      <c r="T68" s="62"/>
    </row>
    <row r="69" s="56" customFormat="1" spans="2:20">
      <c r="B69" s="241" t="s">
        <v>36</v>
      </c>
      <c r="C69" s="111"/>
      <c r="D69" s="117" t="str">
        <f>BO5计算表!K10</f>
        <v/>
      </c>
      <c r="E69" s="242" t="str">
        <f>BO5计算表!L10</f>
        <v/>
      </c>
      <c r="F69" s="62"/>
      <c r="G69" s="62"/>
      <c r="L69" s="62"/>
      <c r="M69" s="62"/>
      <c r="N69" s="62"/>
      <c r="O69" s="62"/>
      <c r="P69" s="62"/>
      <c r="Q69" s="62"/>
      <c r="R69" s="62"/>
      <c r="S69" s="62"/>
      <c r="T69" s="62"/>
    </row>
    <row r="70" s="56" customFormat="1" spans="2:20">
      <c r="B70" s="136" t="s">
        <v>35</v>
      </c>
      <c r="C70" s="92"/>
      <c r="D70" s="92"/>
      <c r="E70" s="137"/>
      <c r="F70" s="62"/>
      <c r="G70" s="62"/>
      <c r="H70" s="106" t="s">
        <v>35</v>
      </c>
      <c r="I70" s="190"/>
      <c r="J70" s="190"/>
      <c r="K70" s="263"/>
      <c r="L70" s="62"/>
      <c r="Q70" s="62"/>
      <c r="R70" s="62"/>
      <c r="S70" s="62"/>
      <c r="T70" s="62"/>
    </row>
    <row r="71" s="56" customFormat="1" spans="2:20">
      <c r="B71" s="133" t="str">
        <f>IF(K50="监管者",I8,IF(K50="求生者",J8,""))&amp;"求生者"</f>
        <v>求生者</v>
      </c>
      <c r="C71" s="62" t="s">
        <v>4</v>
      </c>
      <c r="D71" s="62"/>
      <c r="E71" s="138" t="str">
        <f>IF(K50="监管者",J8,IF(K50="求生者",I8,""))&amp;"监管者"</f>
        <v>监管者</v>
      </c>
      <c r="F71" s="62"/>
      <c r="G71" s="62"/>
      <c r="H71" s="89" t="s">
        <v>28</v>
      </c>
      <c r="I71" s="89"/>
      <c r="J71" s="180"/>
      <c r="K71" s="181"/>
      <c r="L71" s="62"/>
      <c r="Q71" s="62"/>
      <c r="R71" s="62"/>
      <c r="S71" s="62"/>
      <c r="T71" s="62"/>
    </row>
    <row r="72" s="56" customFormat="1" spans="2:20">
      <c r="B72" s="243" t="s">
        <v>64</v>
      </c>
      <c r="C72" s="115"/>
      <c r="D72" s="115"/>
      <c r="E72" s="244"/>
      <c r="F72" s="62"/>
      <c r="G72" s="62"/>
      <c r="H72" s="89" t="s">
        <v>62</v>
      </c>
      <c r="I72" s="89"/>
      <c r="K72" s="184"/>
      <c r="L72" s="62"/>
      <c r="Q72" s="62"/>
      <c r="R72" s="62"/>
      <c r="S72" s="62"/>
      <c r="T72" s="62"/>
    </row>
    <row r="73" s="56" customFormat="1" spans="2:20">
      <c r="B73" s="245" t="str">
        <f>IF(AND(K14="求生者",K50="监管者"),D34,IF(AND(K14="监管者",K50="求生者"),D34,IF(AND(K14="求生者",K50="求生者"),D23,IF(AND(K14="监管者",K50="监管者"),D23,""))))</f>
        <v/>
      </c>
      <c r="C73" s="143" t="str">
        <f>IF(AND(K14="求生者",K50="监管者"),E34,IF(AND(K14="监管者",K50="求生者"),E34,IF(AND(K14="求生者",K50="求生者"),E23,IF(AND(K14="监管者",K50="监管者"),E23,""))))</f>
        <v/>
      </c>
      <c r="D73" s="143" t="str">
        <f>IF(AND(K14="求生者",K50="监管者"),D36,IF(AND(K14="监管者",K50="求生者"),D36,IF(AND(K14="求生者",K50="求生者"),D25,IF(AND(K14="监管者",K50="监管者"),D25,""))))</f>
        <v/>
      </c>
      <c r="E73" s="144" t="str">
        <f>IF(AND(K14="求生者",K50="监管者"),D38,IF(AND(K14="监管者",K50="求生者"),D38,IF(AND(K14="求生者",K50="求生者"),D27,IF(AND(K14="监管者",K50="监管者"),D27,""))))</f>
        <v/>
      </c>
      <c r="F73" s="62"/>
      <c r="G73" s="62"/>
      <c r="H73" s="90" t="s">
        <v>29</v>
      </c>
      <c r="I73" s="90"/>
      <c r="J73" s="182"/>
      <c r="K73" s="183"/>
      <c r="L73" s="62"/>
      <c r="Q73" s="62"/>
      <c r="R73" s="62"/>
      <c r="S73" s="62"/>
      <c r="T73" s="62"/>
    </row>
    <row r="74" s="56" customFormat="1" spans="2:20">
      <c r="B74" s="243" t="str">
        <f>IF(AND(K14="求生者",K50="监管者"),D39,IF(AND(K14="监管者",K50="求生者"),D39,IF(AND(K14="求生者",K50="求生者"),D28,IF(AND(K14="监管者",K50="监管者"),D28,""))))</f>
        <v/>
      </c>
      <c r="C74" s="115"/>
      <c r="D74" s="115"/>
      <c r="E74" s="244"/>
      <c r="F74" s="62"/>
      <c r="G74" s="62"/>
      <c r="H74" s="89" t="s">
        <v>30</v>
      </c>
      <c r="I74" s="89"/>
      <c r="K74" s="184"/>
      <c r="L74" s="62"/>
      <c r="Q74" s="62"/>
      <c r="R74" s="62"/>
      <c r="S74" s="62"/>
      <c r="T74" s="62"/>
    </row>
    <row r="75" s="56" customFormat="1" spans="2:20">
      <c r="B75" s="148" t="s">
        <v>28</v>
      </c>
      <c r="C75" s="100"/>
      <c r="D75" s="100">
        <f t="shared" ref="D75:D82" si="3">J71</f>
        <v>0</v>
      </c>
      <c r="E75" s="149">
        <f>K71</f>
        <v>0</v>
      </c>
      <c r="F75" s="62"/>
      <c r="G75" s="62"/>
      <c r="H75" s="90" t="s">
        <v>31</v>
      </c>
      <c r="I75" s="90"/>
      <c r="J75" s="182"/>
      <c r="K75" s="183"/>
      <c r="L75" s="62"/>
      <c r="Q75" s="62"/>
      <c r="R75" s="62"/>
      <c r="S75" s="62"/>
      <c r="T75" s="62"/>
    </row>
    <row r="76" s="56" customFormat="1" spans="2:20">
      <c r="B76" s="150" t="s">
        <v>62</v>
      </c>
      <c r="C76" s="151"/>
      <c r="D76" s="151">
        <f t="shared" si="3"/>
        <v>0</v>
      </c>
      <c r="E76" s="152"/>
      <c r="F76" s="62"/>
      <c r="G76" s="62"/>
      <c r="H76" s="89" t="s">
        <v>30</v>
      </c>
      <c r="I76" s="89"/>
      <c r="K76" s="184"/>
      <c r="L76" s="62"/>
      <c r="Q76" s="62"/>
      <c r="R76" s="62"/>
      <c r="S76" s="62"/>
      <c r="T76" s="62"/>
    </row>
    <row r="77" s="56" customFormat="1" spans="2:20">
      <c r="B77" s="153" t="s">
        <v>29</v>
      </c>
      <c r="C77" s="103"/>
      <c r="D77" s="103">
        <f t="shared" si="3"/>
        <v>0</v>
      </c>
      <c r="E77" s="154">
        <f>K73</f>
        <v>0</v>
      </c>
      <c r="F77" s="62"/>
      <c r="G77" s="62"/>
      <c r="H77" s="90" t="s">
        <v>31</v>
      </c>
      <c r="I77" s="90"/>
      <c r="J77" s="182"/>
      <c r="K77" s="183"/>
      <c r="L77" s="62"/>
      <c r="Q77" s="62"/>
      <c r="R77" s="62"/>
      <c r="S77" s="62"/>
      <c r="T77" s="62"/>
    </row>
    <row r="78" s="56" customFormat="1" spans="2:20">
      <c r="B78" s="148" t="s">
        <v>30</v>
      </c>
      <c r="C78" s="100"/>
      <c r="D78" s="100">
        <f t="shared" si="3"/>
        <v>0</v>
      </c>
      <c r="E78" s="149"/>
      <c r="F78" s="62"/>
      <c r="G78" s="62"/>
      <c r="H78" s="89" t="s">
        <v>33</v>
      </c>
      <c r="I78" s="89"/>
      <c r="J78" s="163"/>
      <c r="K78" s="166"/>
      <c r="L78" s="62"/>
      <c r="Q78" s="62"/>
      <c r="R78" s="62"/>
      <c r="S78" s="62"/>
      <c r="T78" s="62"/>
    </row>
    <row r="79" s="56" customFormat="1" spans="2:20">
      <c r="B79" s="153" t="s">
        <v>31</v>
      </c>
      <c r="C79" s="103"/>
      <c r="D79" s="103">
        <f t="shared" si="3"/>
        <v>0</v>
      </c>
      <c r="E79" s="154"/>
      <c r="F79" s="62"/>
      <c r="G79" s="62"/>
      <c r="H79" s="135" t="s">
        <v>34</v>
      </c>
      <c r="I79" s="264"/>
      <c r="J79" s="194"/>
      <c r="K79" s="195"/>
      <c r="L79" s="62"/>
      <c r="Q79" s="62"/>
      <c r="R79" s="62"/>
      <c r="S79" s="62"/>
      <c r="T79" s="62"/>
    </row>
    <row r="80" s="56" customFormat="1" spans="2:20">
      <c r="B80" s="148" t="s">
        <v>30</v>
      </c>
      <c r="C80" s="100"/>
      <c r="D80" s="100">
        <f t="shared" si="3"/>
        <v>0</v>
      </c>
      <c r="E80" s="149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</row>
    <row r="81" s="56" customFormat="1" spans="2:20">
      <c r="B81" s="153" t="s">
        <v>31</v>
      </c>
      <c r="C81" s="103"/>
      <c r="D81" s="103">
        <f t="shared" si="3"/>
        <v>0</v>
      </c>
      <c r="E81" s="154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</row>
    <row r="82" s="56" customFormat="1" spans="2:20">
      <c r="B82" s="239" t="s">
        <v>33</v>
      </c>
      <c r="C82" s="108"/>
      <c r="D82" s="108">
        <f t="shared" si="3"/>
        <v>0</v>
      </c>
      <c r="E82" s="240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</row>
    <row r="83" s="56" customFormat="1" spans="2:20">
      <c r="B83" s="241" t="s">
        <v>36</v>
      </c>
      <c r="C83" s="111"/>
      <c r="D83" s="246" t="str">
        <f>BO5计算表!K11</f>
        <v/>
      </c>
      <c r="E83" s="247" t="str">
        <f>BO5计算表!L11</f>
        <v/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</row>
    <row r="84" s="56" customFormat="1" spans="2:20">
      <c r="B84" s="248" t="s">
        <v>65</v>
      </c>
      <c r="C84" s="119"/>
      <c r="D84" s="120" t="str">
        <f>IF(BO5计算表!O10="","数据缺失",BO5计算表!O10&amp;"："&amp;BO5计算表!P10)</f>
        <v>数据缺失</v>
      </c>
      <c r="E84" s="249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</row>
    <row r="85" s="56" customFormat="1" spans="2:20">
      <c r="B85" s="248"/>
      <c r="C85" s="119"/>
      <c r="D85" s="119"/>
      <c r="E85" s="249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</row>
    <row r="86" s="56" customFormat="1" spans="2:20">
      <c r="B86" s="248" t="s">
        <v>48</v>
      </c>
      <c r="C86" s="119"/>
      <c r="D86" s="119" t="str">
        <f>IFERROR((SUM(BO5计算表!K8:K11))&amp;"："&amp;(SUM(BO5计算表!L8:L11)),"数据缺失")</f>
        <v>0：0</v>
      </c>
      <c r="E86" s="249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</row>
    <row r="87" s="56" customFormat="1" spans="2:20">
      <c r="B87" s="248"/>
      <c r="C87" s="119"/>
      <c r="D87" s="119"/>
      <c r="E87" s="249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</row>
    <row r="88" s="56" customFormat="1" spans="2:20">
      <c r="B88" s="62"/>
      <c r="C88" s="62"/>
      <c r="D88" s="62"/>
      <c r="E88" s="62"/>
      <c r="F88" s="62"/>
      <c r="G88" s="65"/>
      <c r="H88" s="65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</row>
    <row r="89" s="56" customFormat="1" spans="2:20">
      <c r="B89" s="62"/>
      <c r="C89" s="62"/>
      <c r="D89" s="62"/>
      <c r="E89" s="62"/>
      <c r="F89" s="62"/>
      <c r="G89" s="65"/>
      <c r="H89" s="65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</row>
    <row r="90" s="56" customFormat="1" ht="15" spans="2:20">
      <c r="B90" s="62"/>
      <c r="C90" s="62"/>
      <c r="D90" s="62"/>
      <c r="E90" s="62"/>
      <c r="F90" s="62"/>
      <c r="G90" s="65"/>
      <c r="H90" s="65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</row>
    <row r="91" s="56" customFormat="1" spans="2:20">
      <c r="B91" s="250" t="s">
        <v>78</v>
      </c>
      <c r="C91" s="251"/>
      <c r="D91" s="251"/>
      <c r="E91" s="252"/>
      <c r="F91" s="253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</row>
    <row r="92" s="56" customFormat="1" spans="2:20">
      <c r="B92" s="254"/>
      <c r="C92" s="255"/>
      <c r="D92" s="255"/>
      <c r="E92" s="256"/>
      <c r="F92" s="253"/>
      <c r="G92" s="62"/>
      <c r="H92" s="106" t="s">
        <v>68</v>
      </c>
      <c r="I92" s="190"/>
      <c r="J92" s="190"/>
      <c r="K92" s="263"/>
      <c r="L92" s="62"/>
      <c r="M92" s="62"/>
      <c r="N92" s="62"/>
      <c r="O92" s="62"/>
      <c r="P92" s="62"/>
      <c r="Q92" s="62"/>
      <c r="R92" s="62"/>
      <c r="S92" s="62"/>
      <c r="T92" s="62"/>
    </row>
    <row r="93" s="56" customFormat="1" spans="2:20">
      <c r="B93" s="133" t="s">
        <v>19</v>
      </c>
      <c r="C93" s="62"/>
      <c r="D93" s="85">
        <f>I94</f>
        <v>0</v>
      </c>
      <c r="E93" s="134"/>
      <c r="F93" s="62"/>
      <c r="G93" s="62"/>
      <c r="H93" s="105" t="s">
        <v>18</v>
      </c>
      <c r="I93" s="265" t="s">
        <v>19</v>
      </c>
      <c r="J93" s="266" t="s">
        <v>20</v>
      </c>
      <c r="K93" s="267" t="s">
        <v>21</v>
      </c>
      <c r="L93" s="62"/>
      <c r="M93" s="62"/>
      <c r="N93" s="62"/>
      <c r="O93" s="62"/>
      <c r="P93" s="62"/>
      <c r="Q93" s="62"/>
      <c r="R93" s="62"/>
      <c r="S93" s="62"/>
      <c r="T93" s="62"/>
    </row>
    <row r="94" s="56" customFormat="1" spans="2:20">
      <c r="B94" s="133"/>
      <c r="C94" s="62"/>
      <c r="D94" s="85"/>
      <c r="E94" s="134"/>
      <c r="F94" s="62"/>
      <c r="G94" s="62"/>
      <c r="H94" s="132"/>
      <c r="I94" s="268"/>
      <c r="J94" s="163"/>
      <c r="K94" s="166"/>
      <c r="L94" s="62"/>
      <c r="M94" s="62"/>
      <c r="N94" s="62"/>
      <c r="O94" s="62"/>
      <c r="P94" s="62"/>
      <c r="Q94" s="62"/>
      <c r="R94" s="62"/>
      <c r="S94" s="62"/>
      <c r="T94" s="62"/>
    </row>
    <row r="95" s="56" customFormat="1" spans="2:20">
      <c r="B95" s="133" t="s">
        <v>20</v>
      </c>
      <c r="C95" s="62"/>
      <c r="D95" s="85">
        <f>J94</f>
        <v>0</v>
      </c>
      <c r="E95" s="134"/>
      <c r="F95" s="62"/>
      <c r="G95" s="62"/>
      <c r="H95" s="106" t="s">
        <v>26</v>
      </c>
      <c r="I95" s="190"/>
      <c r="J95" s="190"/>
      <c r="K95" s="263"/>
      <c r="L95" s="62"/>
      <c r="M95" s="62"/>
      <c r="N95" s="62"/>
      <c r="O95" s="62"/>
      <c r="P95" s="62"/>
      <c r="Q95" s="62"/>
      <c r="R95" s="62"/>
      <c r="S95" s="62"/>
      <c r="T95" s="62"/>
    </row>
    <row r="96" s="56" customFormat="1" spans="2:20">
      <c r="B96" s="133"/>
      <c r="C96" s="62"/>
      <c r="D96" s="85"/>
      <c r="E96" s="134"/>
      <c r="F96" s="62"/>
      <c r="G96" s="62"/>
      <c r="H96" s="89" t="s">
        <v>28</v>
      </c>
      <c r="I96" s="89"/>
      <c r="J96" s="180"/>
      <c r="K96" s="181"/>
      <c r="L96" s="62"/>
      <c r="M96" s="62"/>
      <c r="N96" s="62"/>
      <c r="O96" s="62"/>
      <c r="P96" s="62"/>
      <c r="Q96" s="62"/>
      <c r="R96" s="62"/>
      <c r="S96" s="62"/>
      <c r="T96" s="62"/>
    </row>
    <row r="97" s="56" customFormat="1" spans="2:20">
      <c r="B97" s="133" t="s">
        <v>21</v>
      </c>
      <c r="C97" s="62"/>
      <c r="D97" s="85">
        <f>K94</f>
        <v>0</v>
      </c>
      <c r="E97" s="134"/>
      <c r="F97" s="62"/>
      <c r="G97" s="62"/>
      <c r="H97" s="89" t="s">
        <v>69</v>
      </c>
      <c r="I97" s="89"/>
      <c r="K97" s="184"/>
      <c r="L97" s="62"/>
      <c r="M97" s="62"/>
      <c r="N97" s="62"/>
      <c r="O97" s="62"/>
      <c r="P97" s="62"/>
      <c r="Q97" s="62"/>
      <c r="R97" s="62"/>
      <c r="S97" s="62"/>
      <c r="T97" s="62"/>
    </row>
    <row r="98" s="56" customFormat="1" spans="2:20">
      <c r="B98" s="133"/>
      <c r="C98" s="62"/>
      <c r="D98" s="85"/>
      <c r="E98" s="134"/>
      <c r="F98" s="62"/>
      <c r="G98" s="62"/>
      <c r="H98" s="90" t="s">
        <v>29</v>
      </c>
      <c r="I98" s="90"/>
      <c r="J98" s="182"/>
      <c r="K98" s="183"/>
      <c r="L98" s="62"/>
      <c r="M98" s="62"/>
      <c r="N98" s="62"/>
      <c r="O98" s="62"/>
      <c r="P98" s="62"/>
      <c r="Q98" s="62"/>
      <c r="R98" s="62"/>
      <c r="S98" s="62"/>
      <c r="T98" s="62"/>
    </row>
    <row r="99" s="56" customFormat="1" spans="2:20">
      <c r="B99" s="136" t="s">
        <v>26</v>
      </c>
      <c r="C99" s="92"/>
      <c r="D99" s="92"/>
      <c r="E99" s="137"/>
      <c r="F99" s="62"/>
      <c r="G99" s="62"/>
      <c r="H99" s="89" t="s">
        <v>30</v>
      </c>
      <c r="I99" s="89"/>
      <c r="K99" s="184"/>
      <c r="L99" s="62"/>
      <c r="M99" s="62"/>
      <c r="N99" s="62"/>
      <c r="O99" s="62"/>
      <c r="P99" s="62"/>
      <c r="Q99" s="62"/>
      <c r="R99" s="62"/>
      <c r="S99" s="62"/>
      <c r="T99" s="62"/>
    </row>
    <row r="100" s="56" customFormat="1" spans="2:20">
      <c r="B100" s="133" t="str">
        <f>IF(K94="监管者",I8,IF(K94="求生者",J8,""))&amp;"求生者"</f>
        <v>求生者</v>
      </c>
      <c r="C100" s="62" t="s">
        <v>4</v>
      </c>
      <c r="D100" s="62"/>
      <c r="E100" s="138" t="str">
        <f>IF(K94="监管者",J8,IF(K94="求生者",I8,""))&amp;"监管者"</f>
        <v>监管者</v>
      </c>
      <c r="F100" s="62"/>
      <c r="G100" s="62"/>
      <c r="H100" s="90" t="s">
        <v>31</v>
      </c>
      <c r="I100" s="90"/>
      <c r="J100" s="182"/>
      <c r="K100" s="183"/>
      <c r="L100" s="62"/>
      <c r="M100" s="62"/>
      <c r="N100" s="62"/>
      <c r="O100" s="62"/>
      <c r="P100" s="62"/>
      <c r="Q100" s="62"/>
      <c r="R100" s="62"/>
      <c r="S100" s="62"/>
      <c r="T100" s="62"/>
    </row>
    <row r="101" s="56" customFormat="1" spans="2:20">
      <c r="B101" s="139" t="s">
        <v>70</v>
      </c>
      <c r="C101" s="140"/>
      <c r="D101" s="140"/>
      <c r="E101" s="141"/>
      <c r="F101" s="62"/>
      <c r="G101" s="62"/>
      <c r="H101" s="89" t="s">
        <v>30</v>
      </c>
      <c r="I101" s="89"/>
      <c r="K101" s="184"/>
      <c r="L101" s="62"/>
      <c r="M101" s="62"/>
      <c r="N101" s="62"/>
      <c r="O101" s="62"/>
      <c r="P101" s="62"/>
      <c r="Q101" s="62"/>
      <c r="R101" s="62"/>
      <c r="S101" s="62"/>
      <c r="T101" s="62"/>
    </row>
    <row r="102" s="56" customFormat="1" spans="2:20">
      <c r="B102" s="245" t="str">
        <f>IF(E57=E100,B59,B73)</f>
        <v/>
      </c>
      <c r="C102" s="143" t="str">
        <f>IF(E57=E100,C59,C73)</f>
        <v/>
      </c>
      <c r="D102" s="143" t="str">
        <f>IF(E57=E100,D59,D73)</f>
        <v/>
      </c>
      <c r="E102" s="144" t="str">
        <f>IF(E57=E100,E59,E73)</f>
        <v/>
      </c>
      <c r="F102" s="62"/>
      <c r="G102" s="62"/>
      <c r="H102" s="90" t="s">
        <v>31</v>
      </c>
      <c r="I102" s="90"/>
      <c r="J102" s="182"/>
      <c r="K102" s="183"/>
      <c r="L102" s="62"/>
      <c r="M102" s="62"/>
      <c r="N102" s="62"/>
      <c r="O102" s="62"/>
      <c r="P102" s="62"/>
      <c r="Q102" s="62"/>
      <c r="R102" s="62"/>
      <c r="S102" s="62"/>
      <c r="T102" s="62"/>
    </row>
    <row r="103" s="56" customFormat="1" spans="2:20">
      <c r="B103" s="245">
        <f>IF(E57=E100,D63,D77)</f>
        <v>0</v>
      </c>
      <c r="C103" s="143">
        <f>IF(E57=E100,E63,E77)</f>
        <v>0</v>
      </c>
      <c r="D103" s="143">
        <f>IF(E57=E100,D65,D79)</f>
        <v>0</v>
      </c>
      <c r="E103" s="144">
        <f>IF(E57=E100,D67,D81)</f>
        <v>0</v>
      </c>
      <c r="F103" s="62"/>
      <c r="G103" s="62"/>
      <c r="H103" s="89" t="s">
        <v>33</v>
      </c>
      <c r="I103" s="89"/>
      <c r="J103" s="163"/>
      <c r="K103" s="166"/>
      <c r="L103" s="62"/>
      <c r="M103" s="62"/>
      <c r="N103" s="62"/>
      <c r="O103" s="62"/>
      <c r="P103" s="62"/>
      <c r="Q103" s="62"/>
      <c r="R103" s="62"/>
      <c r="S103" s="62"/>
      <c r="T103" s="62"/>
    </row>
    <row r="104" s="56" customFormat="1" spans="2:20">
      <c r="B104" s="257" t="str">
        <f>IF(E57=E100,B60,B74)</f>
        <v/>
      </c>
      <c r="C104" s="258"/>
      <c r="D104" s="259">
        <f>IF(E100=E71,D82,D68)</f>
        <v>0</v>
      </c>
      <c r="E104" s="260"/>
      <c r="F104" s="62"/>
      <c r="G104" s="62"/>
      <c r="H104" s="89" t="s">
        <v>34</v>
      </c>
      <c r="I104" s="89"/>
      <c r="J104" s="204"/>
      <c r="K104" s="195"/>
      <c r="L104" s="62"/>
      <c r="M104" s="62"/>
      <c r="N104" s="62"/>
      <c r="O104" s="62"/>
      <c r="P104" s="62"/>
      <c r="Q104" s="62"/>
      <c r="R104" s="62"/>
      <c r="S104" s="62"/>
      <c r="T104" s="62"/>
    </row>
    <row r="105" s="56" customFormat="1" spans="2:20">
      <c r="B105" s="148" t="s">
        <v>28</v>
      </c>
      <c r="C105" s="100"/>
      <c r="D105" s="100">
        <f>IFERROR(J96,"")</f>
        <v>0</v>
      </c>
      <c r="E105" s="149">
        <f t="shared" ref="E105:E107" si="4">K96</f>
        <v>0</v>
      </c>
      <c r="F105" s="62"/>
      <c r="G105" s="62"/>
      <c r="L105" s="62"/>
      <c r="M105" s="62"/>
      <c r="N105" s="62"/>
      <c r="O105" s="62"/>
      <c r="P105" s="62"/>
      <c r="Q105" s="62"/>
      <c r="R105" s="62"/>
      <c r="S105" s="62"/>
      <c r="T105" s="62"/>
    </row>
    <row r="106" s="56" customFormat="1" spans="2:20">
      <c r="B106" s="150" t="s">
        <v>69</v>
      </c>
      <c r="C106" s="151"/>
      <c r="D106" s="151">
        <f t="shared" ref="D106:D112" si="5">J97</f>
        <v>0</v>
      </c>
      <c r="E106" s="152">
        <f t="shared" si="4"/>
        <v>0</v>
      </c>
      <c r="F106" s="62"/>
      <c r="G106" s="62"/>
      <c r="L106" s="62"/>
      <c r="M106" s="62"/>
      <c r="N106" s="62"/>
      <c r="O106" s="62"/>
      <c r="P106" s="62"/>
      <c r="Q106" s="62"/>
      <c r="R106" s="62"/>
      <c r="S106" s="62"/>
      <c r="T106" s="62"/>
    </row>
    <row r="107" s="56" customFormat="1" spans="2:20">
      <c r="B107" s="153" t="s">
        <v>29</v>
      </c>
      <c r="C107" s="103"/>
      <c r="D107" s="103">
        <f t="shared" si="5"/>
        <v>0</v>
      </c>
      <c r="E107" s="154">
        <f t="shared" si="4"/>
        <v>0</v>
      </c>
      <c r="F107" s="62"/>
      <c r="G107" s="62"/>
      <c r="L107" s="62"/>
      <c r="M107" s="62"/>
      <c r="R107" s="62"/>
      <c r="S107" s="62"/>
      <c r="T107" s="62"/>
    </row>
    <row r="108" s="56" customFormat="1" spans="2:20">
      <c r="B108" s="148" t="s">
        <v>30</v>
      </c>
      <c r="C108" s="100"/>
      <c r="D108" s="100">
        <f t="shared" si="5"/>
        <v>0</v>
      </c>
      <c r="E108" s="149"/>
      <c r="F108" s="62"/>
      <c r="G108" s="62"/>
      <c r="L108" s="62"/>
      <c r="M108" s="62"/>
      <c r="R108" s="62"/>
      <c r="S108" s="62"/>
      <c r="T108" s="62"/>
    </row>
    <row r="109" s="56" customFormat="1" spans="2:20">
      <c r="B109" s="153" t="s">
        <v>31</v>
      </c>
      <c r="C109" s="103"/>
      <c r="D109" s="103">
        <f t="shared" si="5"/>
        <v>0</v>
      </c>
      <c r="E109" s="154"/>
      <c r="F109" s="62"/>
      <c r="G109" s="62"/>
      <c r="L109" s="62"/>
      <c r="M109" s="62"/>
      <c r="R109" s="62"/>
      <c r="S109" s="62"/>
      <c r="T109" s="62"/>
    </row>
    <row r="110" s="56" customFormat="1" spans="2:20">
      <c r="B110" s="148" t="s">
        <v>30</v>
      </c>
      <c r="C110" s="100"/>
      <c r="D110" s="100">
        <f t="shared" si="5"/>
        <v>0</v>
      </c>
      <c r="E110" s="149"/>
      <c r="F110" s="62"/>
      <c r="G110" s="62"/>
      <c r="L110" s="62"/>
      <c r="M110" s="62"/>
      <c r="R110" s="62"/>
      <c r="S110" s="62"/>
      <c r="T110" s="62"/>
    </row>
    <row r="111" s="56" customFormat="1" spans="2:20">
      <c r="B111" s="153" t="s">
        <v>31</v>
      </c>
      <c r="C111" s="103"/>
      <c r="D111" s="103">
        <f t="shared" si="5"/>
        <v>0</v>
      </c>
      <c r="E111" s="154"/>
      <c r="F111" s="62"/>
      <c r="G111" s="62"/>
      <c r="L111" s="62"/>
      <c r="M111" s="62"/>
      <c r="R111" s="62"/>
      <c r="S111" s="62"/>
      <c r="T111" s="62"/>
    </row>
    <row r="112" s="56" customFormat="1" spans="2:20">
      <c r="B112" s="239" t="s">
        <v>33</v>
      </c>
      <c r="C112" s="108"/>
      <c r="D112" s="108">
        <f t="shared" si="5"/>
        <v>0</v>
      </c>
      <c r="E112" s="240"/>
      <c r="F112" s="62"/>
      <c r="G112" s="62"/>
      <c r="L112" s="62"/>
      <c r="M112" s="62"/>
      <c r="R112" s="62"/>
      <c r="S112" s="62"/>
      <c r="T112" s="62"/>
    </row>
    <row r="113" s="56" customFormat="1" spans="2:20">
      <c r="B113" s="241" t="s">
        <v>36</v>
      </c>
      <c r="C113" s="111"/>
      <c r="D113" s="117" t="str">
        <f>BO5计算表!K12</f>
        <v/>
      </c>
      <c r="E113" s="242" t="str">
        <f>BO5计算表!L12</f>
        <v/>
      </c>
      <c r="F113" s="62"/>
      <c r="G113" s="62"/>
      <c r="L113" s="62"/>
      <c r="M113" s="62"/>
      <c r="R113" s="62"/>
      <c r="S113" s="62"/>
      <c r="T113" s="62"/>
    </row>
    <row r="114" s="56" customFormat="1" spans="2:20">
      <c r="B114" s="136" t="s">
        <v>35</v>
      </c>
      <c r="C114" s="92"/>
      <c r="D114" s="92"/>
      <c r="E114" s="137"/>
      <c r="F114" s="62"/>
      <c r="G114" s="62"/>
      <c r="H114" s="106" t="s">
        <v>35</v>
      </c>
      <c r="I114" s="190"/>
      <c r="J114" s="190"/>
      <c r="K114" s="263"/>
      <c r="L114" s="62"/>
      <c r="M114" s="62"/>
      <c r="R114" s="62"/>
      <c r="S114" s="62"/>
      <c r="T114" s="62"/>
    </row>
    <row r="115" s="56" customFormat="1" spans="2:11">
      <c r="B115" s="133" t="str">
        <f>IF(K94="监管者",J8,IF(K94="求生者",I8,""))&amp;"求生者"</f>
        <v>求生者</v>
      </c>
      <c r="C115" s="62" t="s">
        <v>4</v>
      </c>
      <c r="D115" s="62"/>
      <c r="E115" s="138" t="str">
        <f>IF(K94="监管者",I8,IF(K94="求生者",J8,""))&amp;"监管者"</f>
        <v>监管者</v>
      </c>
      <c r="H115" s="89" t="s">
        <v>28</v>
      </c>
      <c r="I115" s="89"/>
      <c r="J115" s="180"/>
      <c r="K115" s="181"/>
    </row>
    <row r="116" s="56" customFormat="1" spans="2:11">
      <c r="B116" s="139" t="s">
        <v>70</v>
      </c>
      <c r="C116" s="140"/>
      <c r="D116" s="140"/>
      <c r="E116" s="141"/>
      <c r="H116" s="89" t="s">
        <v>69</v>
      </c>
      <c r="I116" s="89"/>
      <c r="K116" s="184"/>
    </row>
    <row r="117" s="56" customFormat="1" spans="2:11">
      <c r="B117" s="245" t="str">
        <f>IF(E115=E71,B73,B59)</f>
        <v/>
      </c>
      <c r="C117" s="143" t="str">
        <f>IF(E115=E71,C73,C59)</f>
        <v/>
      </c>
      <c r="D117" s="143" t="str">
        <f>IF(E115=E71,D73,D59)</f>
        <v/>
      </c>
      <c r="E117" s="144" t="str">
        <f>IF(E115=E71,E73,E59)</f>
        <v/>
      </c>
      <c r="H117" s="90" t="s">
        <v>29</v>
      </c>
      <c r="I117" s="90"/>
      <c r="J117" s="182"/>
      <c r="K117" s="183"/>
    </row>
    <row r="118" s="56" customFormat="1" spans="2:11">
      <c r="B118" s="245">
        <f>IF(E115=E71,D77,D63)</f>
        <v>0</v>
      </c>
      <c r="C118" s="143">
        <f>IF(E115=E71,E77,E63)</f>
        <v>0</v>
      </c>
      <c r="D118" s="143">
        <f>IF(E115=E71,D79,D65)</f>
        <v>0</v>
      </c>
      <c r="E118" s="144">
        <f>IF(E115=E71,D81,D67)</f>
        <v>0</v>
      </c>
      <c r="H118" s="89" t="s">
        <v>30</v>
      </c>
      <c r="I118" s="89"/>
      <c r="K118" s="184"/>
    </row>
    <row r="119" s="56" customFormat="1" spans="2:11">
      <c r="B119" s="261" t="str">
        <f>IF(E115=E71,B74,B60)</f>
        <v/>
      </c>
      <c r="C119" s="262"/>
      <c r="D119" s="259">
        <f>IF(E57=E115,D68,D82)</f>
        <v>0</v>
      </c>
      <c r="E119" s="260"/>
      <c r="H119" s="90" t="s">
        <v>31</v>
      </c>
      <c r="I119" s="90"/>
      <c r="J119" s="182"/>
      <c r="K119" s="183"/>
    </row>
    <row r="120" s="56" customFormat="1" spans="2:11">
      <c r="B120" s="148" t="s">
        <v>28</v>
      </c>
      <c r="C120" s="100"/>
      <c r="D120" s="100">
        <f t="shared" ref="D120:D127" si="6">J115</f>
        <v>0</v>
      </c>
      <c r="E120" s="149">
        <f t="shared" ref="E120:E122" si="7">K115</f>
        <v>0</v>
      </c>
      <c r="H120" s="89" t="s">
        <v>30</v>
      </c>
      <c r="I120" s="89"/>
      <c r="K120" s="184"/>
    </row>
    <row r="121" s="56" customFormat="1" spans="2:11">
      <c r="B121" s="150" t="s">
        <v>69</v>
      </c>
      <c r="C121" s="151"/>
      <c r="D121" s="151">
        <f t="shared" si="6"/>
        <v>0</v>
      </c>
      <c r="E121" s="152">
        <f t="shared" si="7"/>
        <v>0</v>
      </c>
      <c r="H121" s="90" t="s">
        <v>31</v>
      </c>
      <c r="I121" s="90"/>
      <c r="J121" s="182"/>
      <c r="K121" s="183"/>
    </row>
    <row r="122" s="56" customFormat="1" spans="2:11">
      <c r="B122" s="153" t="s">
        <v>29</v>
      </c>
      <c r="C122" s="103"/>
      <c r="D122" s="103">
        <f t="shared" si="6"/>
        <v>0</v>
      </c>
      <c r="E122" s="154">
        <f t="shared" si="7"/>
        <v>0</v>
      </c>
      <c r="H122" s="89" t="s">
        <v>33</v>
      </c>
      <c r="I122" s="89"/>
      <c r="J122" s="163"/>
      <c r="K122" s="166"/>
    </row>
    <row r="123" s="56" customFormat="1" spans="2:11">
      <c r="B123" s="148" t="s">
        <v>30</v>
      </c>
      <c r="C123" s="100"/>
      <c r="D123" s="100">
        <f t="shared" si="6"/>
        <v>0</v>
      </c>
      <c r="E123" s="149"/>
      <c r="H123" s="89" t="s">
        <v>34</v>
      </c>
      <c r="I123" s="89"/>
      <c r="J123" s="204"/>
      <c r="K123" s="195"/>
    </row>
    <row r="124" s="56" customFormat="1" spans="2:5">
      <c r="B124" s="153" t="s">
        <v>31</v>
      </c>
      <c r="C124" s="103"/>
      <c r="D124" s="103">
        <f t="shared" si="6"/>
        <v>0</v>
      </c>
      <c r="E124" s="154"/>
    </row>
    <row r="125" s="56" customFormat="1" spans="2:5">
      <c r="B125" s="148" t="s">
        <v>30</v>
      </c>
      <c r="C125" s="100"/>
      <c r="D125" s="100">
        <f t="shared" si="6"/>
        <v>0</v>
      </c>
      <c r="E125" s="149"/>
    </row>
    <row r="126" s="56" customFormat="1" spans="2:5">
      <c r="B126" s="153" t="s">
        <v>31</v>
      </c>
      <c r="C126" s="103"/>
      <c r="D126" s="103">
        <f t="shared" si="6"/>
        <v>0</v>
      </c>
      <c r="E126" s="154"/>
    </row>
    <row r="127" s="56" customFormat="1" spans="2:5">
      <c r="B127" s="239" t="s">
        <v>33</v>
      </c>
      <c r="C127" s="108"/>
      <c r="D127" s="108">
        <f t="shared" si="6"/>
        <v>0</v>
      </c>
      <c r="E127" s="240"/>
    </row>
    <row r="128" s="56" customFormat="1" spans="2:5">
      <c r="B128" s="241" t="s">
        <v>36</v>
      </c>
      <c r="C128" s="111"/>
      <c r="D128" s="117" t="str">
        <f>BO5计算表!K13</f>
        <v/>
      </c>
      <c r="E128" s="242" t="str">
        <f>BO5计算表!L13</f>
        <v/>
      </c>
    </row>
    <row r="129" s="56" customFormat="1" spans="2:5">
      <c r="B129" s="269" t="s">
        <v>65</v>
      </c>
      <c r="C129" s="270"/>
      <c r="D129" s="271" t="str">
        <f>IF(BO5计算表!O12="","数据缺失",BO5计算表!O12&amp;"："&amp;BO5计算表!P12)</f>
        <v>数据缺失</v>
      </c>
      <c r="E129" s="272"/>
    </row>
    <row r="130" s="56" customFormat="1" spans="2:5">
      <c r="B130" s="248"/>
      <c r="C130" s="119"/>
      <c r="D130" s="119"/>
      <c r="E130" s="249"/>
    </row>
    <row r="131" s="56" customFormat="1" spans="2:5">
      <c r="B131" s="248" t="s">
        <v>48</v>
      </c>
      <c r="C131" s="119"/>
      <c r="D131" s="119" t="str">
        <f>IFERROR((SUM(BO5计算表!K8:K13))&amp;"："&amp;(SUM(BO5计算表!L8:L13)),"数据缺失")</f>
        <v>0：0</v>
      </c>
      <c r="E131" s="249"/>
    </row>
    <row r="132" s="56" customFormat="1" spans="2:5">
      <c r="B132" s="273"/>
      <c r="C132" s="274"/>
      <c r="D132" s="274"/>
      <c r="E132" s="275"/>
    </row>
    <row r="133" s="56" customFormat="1" spans="2:5">
      <c r="B133" s="276" t="s">
        <v>66</v>
      </c>
      <c r="C133" s="90"/>
      <c r="D133" s="277" t="str">
        <f>IFERROR(IF(BO5计算表!O12="","未产生",IF(AND(BO5计算表!O12&gt;=3,BO5计算表!P12&lt;3),B8&amp;"获胜",IF(AND(BO5计算表!P12&gt;=3,BO5计算表!O12&lt;3),E8&amp;"获胜","BO5"))),"未产生")</f>
        <v>未产生</v>
      </c>
      <c r="E133" s="278"/>
    </row>
    <row r="134" s="56" customFormat="1" ht="15" spans="2:5">
      <c r="B134" s="279"/>
      <c r="C134" s="280"/>
      <c r="D134" s="280"/>
      <c r="E134" s="281"/>
    </row>
    <row r="144" s="56" customFormat="1" spans="2:11">
      <c r="B144" s="282" t="s">
        <v>79</v>
      </c>
      <c r="C144" s="283"/>
      <c r="D144" s="283"/>
      <c r="E144" s="284"/>
      <c r="H144" s="106" t="s">
        <v>80</v>
      </c>
      <c r="I144" s="190"/>
      <c r="J144" s="190"/>
      <c r="K144" s="263"/>
    </row>
    <row r="145" s="56" customFormat="1" spans="2:11">
      <c r="B145" s="285"/>
      <c r="C145" s="286"/>
      <c r="D145" s="286"/>
      <c r="E145" s="287"/>
      <c r="H145" s="288" t="s">
        <v>18</v>
      </c>
      <c r="I145" s="200" t="s">
        <v>56</v>
      </c>
      <c r="J145" s="302" t="s">
        <v>57</v>
      </c>
      <c r="K145" s="303" t="s">
        <v>58</v>
      </c>
    </row>
    <row r="146" s="56" customFormat="1" spans="2:11">
      <c r="B146" s="133" t="s">
        <v>56</v>
      </c>
      <c r="C146" s="62"/>
      <c r="D146" s="62" t="str">
        <f>I146</f>
        <v>——</v>
      </c>
      <c r="E146" s="138"/>
      <c r="H146" s="132"/>
      <c r="I146" s="304" t="s">
        <v>74</v>
      </c>
      <c r="J146" s="163"/>
      <c r="K146" s="166"/>
    </row>
    <row r="147" s="56" customFormat="1" spans="2:11">
      <c r="B147" s="133"/>
      <c r="C147" s="62"/>
      <c r="D147" s="62"/>
      <c r="E147" s="138"/>
      <c r="H147" s="289" t="s">
        <v>26</v>
      </c>
      <c r="I147" s="305"/>
      <c r="J147" s="306"/>
      <c r="K147" s="307"/>
    </row>
    <row r="148" s="56" customFormat="1" spans="2:11">
      <c r="B148" s="133" t="s">
        <v>57</v>
      </c>
      <c r="C148" s="62"/>
      <c r="D148" s="85">
        <f>J146</f>
        <v>0</v>
      </c>
      <c r="E148" s="134"/>
      <c r="H148" s="89" t="s">
        <v>28</v>
      </c>
      <c r="I148" s="89"/>
      <c r="J148" s="180"/>
      <c r="K148" s="181"/>
    </row>
    <row r="149" s="56" customFormat="1" spans="2:11">
      <c r="B149" s="133"/>
      <c r="C149" s="62"/>
      <c r="D149" s="85"/>
      <c r="E149" s="134"/>
      <c r="H149" s="89" t="s">
        <v>69</v>
      </c>
      <c r="I149" s="89"/>
      <c r="K149" s="184"/>
    </row>
    <row r="150" s="56" customFormat="1" spans="2:11">
      <c r="B150" s="133" t="s">
        <v>58</v>
      </c>
      <c r="C150" s="62"/>
      <c r="D150" s="85">
        <f>K146</f>
        <v>0</v>
      </c>
      <c r="E150" s="134"/>
      <c r="H150" s="90" t="s">
        <v>29</v>
      </c>
      <c r="I150" s="90"/>
      <c r="J150" s="182"/>
      <c r="K150" s="183"/>
    </row>
    <row r="151" s="56" customFormat="1" spans="2:11">
      <c r="B151" s="133"/>
      <c r="C151" s="62"/>
      <c r="D151" s="85"/>
      <c r="E151" s="134"/>
      <c r="H151" s="89" t="s">
        <v>30</v>
      </c>
      <c r="I151" s="89"/>
      <c r="K151" s="184"/>
    </row>
    <row r="152" s="56" customFormat="1" spans="2:11">
      <c r="B152" s="136" t="s">
        <v>26</v>
      </c>
      <c r="C152" s="92"/>
      <c r="D152" s="92"/>
      <c r="E152" s="137"/>
      <c r="H152" s="90" t="s">
        <v>31</v>
      </c>
      <c r="I152" s="90"/>
      <c r="J152" s="182"/>
      <c r="K152" s="183"/>
    </row>
    <row r="153" s="56" customFormat="1" spans="2:11">
      <c r="B153" s="133" t="str">
        <f>IF(K146="监管者",E8,IF(K146="求生者",B8,""))&amp;"求生者"</f>
        <v>求生者</v>
      </c>
      <c r="C153" s="62" t="s">
        <v>4</v>
      </c>
      <c r="D153" s="62"/>
      <c r="E153" s="138" t="str">
        <f>IF(K146="监管者",B8,IF(K146="求生者",E8,""))&amp;"监管者"</f>
        <v>监管者</v>
      </c>
      <c r="H153" s="89" t="s">
        <v>30</v>
      </c>
      <c r="I153" s="89"/>
      <c r="K153" s="184"/>
    </row>
    <row r="154" s="56" customFormat="1" spans="2:11">
      <c r="B154" s="139" t="s">
        <v>64</v>
      </c>
      <c r="C154" s="140"/>
      <c r="D154" s="140"/>
      <c r="E154" s="141"/>
      <c r="H154" s="90" t="s">
        <v>31</v>
      </c>
      <c r="I154" s="90"/>
      <c r="J154" s="182"/>
      <c r="K154" s="183"/>
    </row>
    <row r="155" s="56" customFormat="1" spans="2:11">
      <c r="B155" s="245" t="str">
        <f>IF(B153=B115,B117,B102)</f>
        <v/>
      </c>
      <c r="C155" s="143" t="str">
        <f>IF(B115=B153,C117,C102)</f>
        <v/>
      </c>
      <c r="D155" s="143" t="str">
        <f>IF(B153=B115,D117,D102)</f>
        <v/>
      </c>
      <c r="E155" s="144" t="str">
        <f>IF(B153=B115,E117,E102)</f>
        <v/>
      </c>
      <c r="H155" s="89" t="s">
        <v>33</v>
      </c>
      <c r="I155" s="89"/>
      <c r="J155" s="163"/>
      <c r="K155" s="166"/>
    </row>
    <row r="156" s="56" customFormat="1" spans="2:11">
      <c r="B156" s="245">
        <f>IF(B153=B115,B118,B103)</f>
        <v>0</v>
      </c>
      <c r="C156" s="143">
        <f>IF(B153=B115,C118,C103)</f>
        <v>0</v>
      </c>
      <c r="D156" s="143">
        <f>IF(B153=B115,D118,D103)</f>
        <v>0</v>
      </c>
      <c r="E156" s="144">
        <f>IF(B153=B115,E118,E103)</f>
        <v>0</v>
      </c>
      <c r="H156" s="89" t="s">
        <v>34</v>
      </c>
      <c r="I156" s="89"/>
      <c r="J156" s="204"/>
      <c r="K156" s="195"/>
    </row>
    <row r="157" s="56" customFormat="1" spans="2:5">
      <c r="B157" s="245">
        <f>IF(B153=B115,D122,D107)</f>
        <v>0</v>
      </c>
      <c r="C157" s="143">
        <f>IF(B153=B115,E122,E107)</f>
        <v>0</v>
      </c>
      <c r="D157" s="143">
        <f>IF(B153=B115,D124,D109)</f>
        <v>0</v>
      </c>
      <c r="E157" s="144">
        <f>IF(B153=B115,D126,D111)</f>
        <v>0</v>
      </c>
    </row>
    <row r="158" s="56" customFormat="1" spans="2:5">
      <c r="B158" s="245" t="str">
        <f>IF(B153=B115,B119,B104)</f>
        <v/>
      </c>
      <c r="C158" s="143"/>
      <c r="D158" s="143">
        <f>IF(B153=B115,D119,D104)</f>
        <v>0</v>
      </c>
      <c r="E158" s="144"/>
    </row>
    <row r="159" s="56" customFormat="1" spans="2:5">
      <c r="B159" s="245">
        <f>IF(B153=B115,D127,D112)</f>
        <v>0</v>
      </c>
      <c r="C159" s="143"/>
      <c r="D159" s="143"/>
      <c r="E159" s="144"/>
    </row>
    <row r="160" s="56" customFormat="1" spans="2:5">
      <c r="B160" s="148" t="s">
        <v>28</v>
      </c>
      <c r="C160" s="100"/>
      <c r="D160" s="100">
        <f t="shared" ref="D160:D167" si="8">J148</f>
        <v>0</v>
      </c>
      <c r="E160" s="149">
        <f t="shared" ref="E160:E162" si="9">K148</f>
        <v>0</v>
      </c>
    </row>
    <row r="161" s="56" customFormat="1" spans="2:5">
      <c r="B161" s="150" t="s">
        <v>69</v>
      </c>
      <c r="C161" s="151"/>
      <c r="D161" s="151">
        <f t="shared" si="8"/>
        <v>0</v>
      </c>
      <c r="E161" s="152">
        <f t="shared" si="9"/>
        <v>0</v>
      </c>
    </row>
    <row r="162" s="56" customFormat="1" spans="2:5">
      <c r="B162" s="153" t="s">
        <v>29</v>
      </c>
      <c r="C162" s="103"/>
      <c r="D162" s="103">
        <f t="shared" si="8"/>
        <v>0</v>
      </c>
      <c r="E162" s="154">
        <f t="shared" si="9"/>
        <v>0</v>
      </c>
    </row>
    <row r="163" s="56" customFormat="1" spans="2:5">
      <c r="B163" s="148" t="s">
        <v>30</v>
      </c>
      <c r="C163" s="100"/>
      <c r="D163" s="100">
        <f t="shared" si="8"/>
        <v>0</v>
      </c>
      <c r="E163" s="149"/>
    </row>
    <row r="164" s="56" customFormat="1" spans="2:17">
      <c r="B164" s="153" t="s">
        <v>31</v>
      </c>
      <c r="C164" s="290"/>
      <c r="D164" s="103">
        <f t="shared" si="8"/>
        <v>0</v>
      </c>
      <c r="E164" s="154"/>
      <c r="F164" s="291"/>
      <c r="G164" s="291"/>
      <c r="L164" s="291"/>
      <c r="M164" s="291"/>
      <c r="N164" s="291"/>
      <c r="O164" s="291"/>
      <c r="P164" s="291"/>
      <c r="Q164" s="291"/>
    </row>
    <row r="165" s="56" customFormat="1" spans="2:5">
      <c r="B165" s="148" t="s">
        <v>30</v>
      </c>
      <c r="C165" s="100"/>
      <c r="D165" s="100">
        <f t="shared" si="8"/>
        <v>0</v>
      </c>
      <c r="E165" s="149"/>
    </row>
    <row r="166" s="56" customFormat="1" spans="2:5">
      <c r="B166" s="153" t="s">
        <v>31</v>
      </c>
      <c r="C166" s="103"/>
      <c r="D166" s="103">
        <f t="shared" si="8"/>
        <v>0</v>
      </c>
      <c r="E166" s="154"/>
    </row>
    <row r="167" s="56" customFormat="1" spans="2:5">
      <c r="B167" s="239" t="s">
        <v>33</v>
      </c>
      <c r="C167" s="108"/>
      <c r="D167" s="108">
        <f t="shared" si="8"/>
        <v>0</v>
      </c>
      <c r="E167" s="240"/>
    </row>
    <row r="168" s="56" customFormat="1" spans="2:5">
      <c r="B168" s="241" t="s">
        <v>36</v>
      </c>
      <c r="C168" s="111"/>
      <c r="D168" s="117" t="str">
        <f>BO5计算表!K14</f>
        <v/>
      </c>
      <c r="E168" s="242" t="str">
        <f>BO5计算表!L14</f>
        <v/>
      </c>
    </row>
    <row r="169" s="56" customFormat="1" spans="2:11">
      <c r="B169" s="136" t="s">
        <v>35</v>
      </c>
      <c r="C169" s="92"/>
      <c r="D169" s="92"/>
      <c r="E169" s="137"/>
      <c r="H169" s="106" t="s">
        <v>35</v>
      </c>
      <c r="I169" s="190"/>
      <c r="J169" s="190"/>
      <c r="K169" s="263"/>
    </row>
    <row r="170" s="56" customFormat="1" spans="2:11">
      <c r="B170" s="133" t="str">
        <f>IF(K146="监管者",B8,IF(K146="求生者",E8,""))&amp;"求生者"</f>
        <v>求生者</v>
      </c>
      <c r="C170" s="62" t="s">
        <v>4</v>
      </c>
      <c r="D170" s="62"/>
      <c r="E170" s="138" t="str">
        <f>IF(K146="监管者",E8,IF(K146="求生者",B8,""))&amp;"监管者"</f>
        <v>监管者</v>
      </c>
      <c r="H170" s="89" t="s">
        <v>28</v>
      </c>
      <c r="I170" s="89"/>
      <c r="J170" s="308"/>
      <c r="K170" s="181"/>
    </row>
    <row r="171" s="56" customFormat="1" spans="2:11">
      <c r="B171" s="245" t="s">
        <v>64</v>
      </c>
      <c r="C171" s="143"/>
      <c r="D171" s="143"/>
      <c r="E171" s="144"/>
      <c r="H171" s="89" t="s">
        <v>69</v>
      </c>
      <c r="I171" s="89"/>
      <c r="J171" s="309"/>
      <c r="K171" s="184"/>
    </row>
    <row r="172" s="56" customFormat="1" spans="2:11">
      <c r="B172" s="245" t="str">
        <f>IF(B100=B170,B102,B117)</f>
        <v/>
      </c>
      <c r="C172" s="143" t="str">
        <f>IF(B100=B170,C102,C117)</f>
        <v/>
      </c>
      <c r="D172" s="143" t="str">
        <f>IF(B100=B170,D102,D117)</f>
        <v/>
      </c>
      <c r="E172" s="144" t="str">
        <f>IF(B100=B170,E102,E117)</f>
        <v/>
      </c>
      <c r="H172" s="90" t="s">
        <v>29</v>
      </c>
      <c r="I172" s="90"/>
      <c r="J172" s="310"/>
      <c r="K172" s="183"/>
    </row>
    <row r="173" s="56" customFormat="1" spans="2:11">
      <c r="B173" s="245">
        <f>IF(B100=B170,B103,B118)</f>
        <v>0</v>
      </c>
      <c r="C173" s="143">
        <f>IF(B100=B170,C103,C118)</f>
        <v>0</v>
      </c>
      <c r="D173" s="143">
        <f>IF(B100=B170,D103,D118)</f>
        <v>0</v>
      </c>
      <c r="E173" s="144">
        <f>IF(B100=B170,E103,E118)</f>
        <v>0</v>
      </c>
      <c r="H173" s="89" t="s">
        <v>30</v>
      </c>
      <c r="I173" s="89"/>
      <c r="J173" s="309"/>
      <c r="K173" s="184"/>
    </row>
    <row r="174" s="56" customFormat="1" spans="2:11">
      <c r="B174" s="245">
        <f>IF(B100=B170,D107,D122)</f>
        <v>0</v>
      </c>
      <c r="C174" s="143">
        <f>IF(B100=B170,E107,E122)</f>
        <v>0</v>
      </c>
      <c r="D174" s="143">
        <f>IF(B100=B170,D109,D124)</f>
        <v>0</v>
      </c>
      <c r="E174" s="144">
        <f>IF(B100=B170,D111,D126)</f>
        <v>0</v>
      </c>
      <c r="H174" s="90" t="s">
        <v>31</v>
      </c>
      <c r="I174" s="90"/>
      <c r="J174" s="310"/>
      <c r="K174" s="183"/>
    </row>
    <row r="175" s="56" customFormat="1" spans="2:11">
      <c r="B175" s="245" t="str">
        <f>IF(B100=B170,B104,B119)</f>
        <v/>
      </c>
      <c r="C175" s="143"/>
      <c r="D175" s="143">
        <f>IF(B100=B170,D104,D119)</f>
        <v>0</v>
      </c>
      <c r="E175" s="144"/>
      <c r="H175" s="292" t="s">
        <v>30</v>
      </c>
      <c r="I175" s="292"/>
      <c r="J175" s="309"/>
      <c r="K175" s="184"/>
    </row>
    <row r="176" s="56" customFormat="1" spans="2:11">
      <c r="B176" s="245">
        <f>IF(B100=B170,D112,D127)</f>
        <v>0</v>
      </c>
      <c r="C176" s="143"/>
      <c r="D176" s="143"/>
      <c r="E176" s="144"/>
      <c r="H176" s="90" t="s">
        <v>31</v>
      </c>
      <c r="I176" s="90"/>
      <c r="J176" s="310"/>
      <c r="K176" s="183"/>
    </row>
    <row r="177" s="56" customFormat="1" spans="2:11">
      <c r="B177" s="148" t="s">
        <v>28</v>
      </c>
      <c r="C177" s="100"/>
      <c r="D177" s="100">
        <f t="shared" ref="D177:D184" si="10">J170</f>
        <v>0</v>
      </c>
      <c r="E177" s="149">
        <f t="shared" ref="E177:E179" si="11">K170</f>
        <v>0</v>
      </c>
      <c r="H177" s="89" t="s">
        <v>33</v>
      </c>
      <c r="I177" s="89"/>
      <c r="J177" s="268"/>
      <c r="K177" s="166"/>
    </row>
    <row r="178" s="56" customFormat="1" spans="2:11">
      <c r="B178" s="150" t="s">
        <v>69</v>
      </c>
      <c r="C178" s="151"/>
      <c r="D178" s="151">
        <f t="shared" si="10"/>
        <v>0</v>
      </c>
      <c r="E178" s="152">
        <f t="shared" si="11"/>
        <v>0</v>
      </c>
      <c r="H178" s="89" t="s">
        <v>34</v>
      </c>
      <c r="I178" s="89"/>
      <c r="J178" s="194"/>
      <c r="K178" s="195"/>
    </row>
    <row r="179" s="56" customFormat="1" spans="2:5">
      <c r="B179" s="153" t="s">
        <v>29</v>
      </c>
      <c r="C179" s="103"/>
      <c r="D179" s="103">
        <f t="shared" si="10"/>
        <v>0</v>
      </c>
      <c r="E179" s="154">
        <f t="shared" si="11"/>
        <v>0</v>
      </c>
    </row>
    <row r="180" s="56" customFormat="1" spans="2:5">
      <c r="B180" s="148" t="s">
        <v>30</v>
      </c>
      <c r="C180" s="100"/>
      <c r="D180" s="100">
        <f t="shared" si="10"/>
        <v>0</v>
      </c>
      <c r="E180" s="149"/>
    </row>
    <row r="181" s="56" customFormat="1" spans="2:11">
      <c r="B181" s="153" t="s">
        <v>31</v>
      </c>
      <c r="C181" s="290"/>
      <c r="D181" s="103">
        <f t="shared" si="10"/>
        <v>0</v>
      </c>
      <c r="E181" s="154"/>
      <c r="H181" s="62"/>
      <c r="I181" s="311"/>
      <c r="J181" s="311"/>
      <c r="K181" s="62"/>
    </row>
    <row r="182" s="56" customFormat="1" spans="2:11">
      <c r="B182" s="148" t="s">
        <v>30</v>
      </c>
      <c r="C182" s="100"/>
      <c r="D182" s="100">
        <f t="shared" si="10"/>
        <v>0</v>
      </c>
      <c r="E182" s="149"/>
      <c r="H182" s="293"/>
      <c r="I182" s="293"/>
      <c r="J182" s="293"/>
      <c r="K182" s="293"/>
    </row>
    <row r="183" s="56" customFormat="1" spans="2:11">
      <c r="B183" s="153" t="s">
        <v>31</v>
      </c>
      <c r="C183" s="103"/>
      <c r="D183" s="103">
        <f t="shared" si="10"/>
        <v>0</v>
      </c>
      <c r="E183" s="154"/>
      <c r="H183" s="66"/>
      <c r="I183" s="66"/>
      <c r="J183" s="66"/>
      <c r="K183" s="66"/>
    </row>
    <row r="184" s="56" customFormat="1" spans="2:11">
      <c r="B184" s="239" t="s">
        <v>33</v>
      </c>
      <c r="C184" s="108"/>
      <c r="D184" s="108">
        <f t="shared" si="10"/>
        <v>0</v>
      </c>
      <c r="E184" s="240"/>
      <c r="H184" s="66"/>
      <c r="I184" s="66"/>
      <c r="J184" s="66"/>
      <c r="K184" s="66"/>
    </row>
    <row r="185" s="56" customFormat="1" spans="2:11">
      <c r="B185" s="294" t="s">
        <v>36</v>
      </c>
      <c r="C185" s="295"/>
      <c r="D185" s="296" t="str">
        <f>BO5计算表!K15</f>
        <v/>
      </c>
      <c r="E185" s="297" t="str">
        <f>BO5计算表!L15</f>
        <v/>
      </c>
      <c r="H185" s="293"/>
      <c r="I185" s="293"/>
      <c r="J185" s="293"/>
      <c r="K185" s="293"/>
    </row>
    <row r="186" s="56" customFormat="1" spans="2:5">
      <c r="B186" s="248" t="s">
        <v>65</v>
      </c>
      <c r="C186" s="119"/>
      <c r="D186" s="119" t="str">
        <f>IF(ISNUMBER(FIND("获胜",D133)),D129,IF(BO5计算表!O14="","数据缺失",BO5计算表!O14&amp;"："&amp;BO5计算表!P14))</f>
        <v>数据缺失</v>
      </c>
      <c r="E186" s="249"/>
    </row>
    <row r="187" s="56" customFormat="1" spans="2:5">
      <c r="B187" s="248"/>
      <c r="C187" s="119"/>
      <c r="D187" s="119"/>
      <c r="E187" s="249"/>
    </row>
    <row r="188" s="56" customFormat="1" spans="2:5">
      <c r="B188" s="248" t="s">
        <v>48</v>
      </c>
      <c r="C188" s="119"/>
      <c r="D188" s="119" t="str">
        <f>IF(ISNUMBER(FIND("获胜",D133)),D131,IFERROR((SUM(BO5计算表!K8:K15))&amp;"："&amp;(SUM(BO5计算表!L8:L15)),"数据缺失"))</f>
        <v>0：0</v>
      </c>
      <c r="E188" s="249"/>
    </row>
    <row r="189" s="56" customFormat="1" spans="2:5">
      <c r="B189" s="248"/>
      <c r="C189" s="119"/>
      <c r="D189" s="119"/>
      <c r="E189" s="249"/>
    </row>
    <row r="190" s="56" customFormat="1" spans="2:5">
      <c r="B190" s="298" t="s">
        <v>66</v>
      </c>
      <c r="C190" s="299"/>
      <c r="D190" s="300" t="str">
        <f>IF(ISNUMBER(FIND("获胜",D133)),D133,IFERROR(IF(BO5计算表!O14="","未产生",IF(AND(BO5计算表!O14&gt;=3,BO5计算表!P14&lt;3),B8&amp;"获胜",IF(AND(BO5计算表!P14&gt;=3,BO5计算表!O14&lt;3),E8&amp;"获胜","BO5"))),"未产生"))</f>
        <v>未产生</v>
      </c>
      <c r="E190" s="301"/>
    </row>
    <row r="191" s="56" customFormat="1" ht="15" spans="2:5">
      <c r="B191" s="279"/>
      <c r="C191" s="280"/>
      <c r="D191" s="280"/>
      <c r="E191" s="281"/>
    </row>
    <row r="195" s="56" customFormat="1" spans="2:11">
      <c r="B195" s="282" t="s">
        <v>81</v>
      </c>
      <c r="C195" s="283"/>
      <c r="D195" s="283"/>
      <c r="E195" s="284"/>
      <c r="H195" s="106" t="s">
        <v>82</v>
      </c>
      <c r="I195" s="190"/>
      <c r="J195" s="190"/>
      <c r="K195" s="263"/>
    </row>
    <row r="196" s="56" customFormat="1" spans="2:11">
      <c r="B196" s="285"/>
      <c r="C196" s="286"/>
      <c r="D196" s="286"/>
      <c r="E196" s="287"/>
      <c r="H196" s="288" t="s">
        <v>18</v>
      </c>
      <c r="I196" s="200" t="s">
        <v>19</v>
      </c>
      <c r="J196" s="302" t="s">
        <v>20</v>
      </c>
      <c r="K196" s="303" t="s">
        <v>21</v>
      </c>
    </row>
    <row r="197" s="56" customFormat="1" spans="2:11">
      <c r="B197" s="133" t="s">
        <v>19</v>
      </c>
      <c r="C197" s="62"/>
      <c r="D197" s="62" t="str">
        <f>I197</f>
        <v>——</v>
      </c>
      <c r="E197" s="138"/>
      <c r="H197" s="132"/>
      <c r="I197" s="304" t="s">
        <v>74</v>
      </c>
      <c r="J197" s="163"/>
      <c r="K197" s="166"/>
    </row>
    <row r="198" s="56" customFormat="1" spans="2:11">
      <c r="B198" s="133"/>
      <c r="C198" s="62"/>
      <c r="D198" s="62"/>
      <c r="E198" s="138"/>
      <c r="H198" s="289" t="s">
        <v>26</v>
      </c>
      <c r="I198" s="305"/>
      <c r="J198" s="306"/>
      <c r="K198" s="307"/>
    </row>
    <row r="199" s="56" customFormat="1" spans="2:11">
      <c r="B199" s="133" t="s">
        <v>20</v>
      </c>
      <c r="C199" s="62"/>
      <c r="D199" s="85">
        <f>J197</f>
        <v>0</v>
      </c>
      <c r="E199" s="134"/>
      <c r="H199" s="89" t="s">
        <v>28</v>
      </c>
      <c r="I199" s="89"/>
      <c r="J199" s="180"/>
      <c r="K199" s="181"/>
    </row>
    <row r="200" s="56" customFormat="1" spans="2:11">
      <c r="B200" s="133"/>
      <c r="C200" s="62"/>
      <c r="D200" s="85"/>
      <c r="E200" s="134"/>
      <c r="H200" s="89" t="s">
        <v>69</v>
      </c>
      <c r="I200" s="89"/>
      <c r="J200" s="56"/>
      <c r="K200" s="184"/>
    </row>
    <row r="201" spans="2:11">
      <c r="B201" s="133" t="s">
        <v>21</v>
      </c>
      <c r="C201" s="62"/>
      <c r="D201" s="85">
        <f>K197</f>
        <v>0</v>
      </c>
      <c r="E201" s="134"/>
      <c r="H201" s="90" t="s">
        <v>29</v>
      </c>
      <c r="I201" s="90"/>
      <c r="J201" s="182"/>
      <c r="K201" s="183"/>
    </row>
    <row r="202" spans="2:11">
      <c r="B202" s="133"/>
      <c r="C202" s="62"/>
      <c r="D202" s="85"/>
      <c r="E202" s="134"/>
      <c r="H202" s="89" t="s">
        <v>30</v>
      </c>
      <c r="I202" s="89"/>
      <c r="K202" s="184"/>
    </row>
    <row r="203" spans="2:11">
      <c r="B203" s="136" t="s">
        <v>26</v>
      </c>
      <c r="C203" s="92"/>
      <c r="D203" s="92"/>
      <c r="E203" s="137"/>
      <c r="H203" s="90" t="s">
        <v>31</v>
      </c>
      <c r="I203" s="90"/>
      <c r="J203" s="182"/>
      <c r="K203" s="183"/>
    </row>
    <row r="204" spans="2:11">
      <c r="B204" s="133" t="str">
        <f>IF(K197="监管者",B8,IF(K197="求生者",E8,""))&amp;"求生者"</f>
        <v>求生者</v>
      </c>
      <c r="C204" s="62" t="s">
        <v>4</v>
      </c>
      <c r="D204" s="62"/>
      <c r="E204" s="138" t="str">
        <f>IF(K197="监管者",E8,IF(K197="求生者",B8,""))&amp;"监管者"</f>
        <v>监管者</v>
      </c>
      <c r="H204" s="89" t="s">
        <v>30</v>
      </c>
      <c r="I204" s="89"/>
      <c r="K204" s="184"/>
    </row>
    <row r="205" spans="2:11">
      <c r="B205" s="139" t="s">
        <v>64</v>
      </c>
      <c r="C205" s="140"/>
      <c r="D205" s="140"/>
      <c r="E205" s="141"/>
      <c r="H205" s="90" t="s">
        <v>31</v>
      </c>
      <c r="I205" s="90"/>
      <c r="J205" s="182"/>
      <c r="K205" s="183"/>
    </row>
    <row r="206" spans="2:11">
      <c r="B206" s="245" t="str">
        <f>IF(B204=B153,B155,B172)</f>
        <v/>
      </c>
      <c r="C206" s="143" t="str">
        <f>IF(B204=B153,C155,C172)</f>
        <v/>
      </c>
      <c r="D206" s="143" t="str">
        <f>IF(B204=B153,D155,D172)</f>
        <v/>
      </c>
      <c r="E206" s="144" t="str">
        <f>IF(B204=B153,E155,E172)</f>
        <v/>
      </c>
      <c r="H206" s="89" t="s">
        <v>33</v>
      </c>
      <c r="I206" s="89"/>
      <c r="J206" s="163"/>
      <c r="K206" s="166"/>
    </row>
    <row r="207" spans="2:11">
      <c r="B207" s="245">
        <f>IF(B204=B153,B156,B173)</f>
        <v>0</v>
      </c>
      <c r="C207" s="143">
        <f>IF(B204=B153,C156,C173)</f>
        <v>0</v>
      </c>
      <c r="D207" s="143">
        <f>IF(B204=B153,D156,D173)</f>
        <v>0</v>
      </c>
      <c r="E207" s="144">
        <f>IF(B204=B153,E156,E173)</f>
        <v>0</v>
      </c>
      <c r="H207" s="89" t="s">
        <v>34</v>
      </c>
      <c r="I207" s="89"/>
      <c r="J207" s="204"/>
      <c r="K207" s="195"/>
    </row>
    <row r="208" spans="2:5">
      <c r="B208" s="245">
        <f>IF(B204=B153,B157,B174)</f>
        <v>0</v>
      </c>
      <c r="C208" s="143">
        <f>IF(B204=B153,C157,C174)</f>
        <v>0</v>
      </c>
      <c r="D208" s="143">
        <f>IF(B204=B153,D157,D174)</f>
        <v>0</v>
      </c>
      <c r="E208" s="144">
        <f>IF(B204=B153,E157,E174)</f>
        <v>0</v>
      </c>
    </row>
    <row r="209" spans="2:5">
      <c r="B209" s="245">
        <f>IF(B204=B153,D162,D179)</f>
        <v>0</v>
      </c>
      <c r="C209" s="143">
        <f>IF(B204=B153,E162,E179)</f>
        <v>0</v>
      </c>
      <c r="D209" s="143">
        <f>IF(B204=B153,D164,D181)</f>
        <v>0</v>
      </c>
      <c r="E209" s="144">
        <f>IF(B204=B153,D166,D183)</f>
        <v>0</v>
      </c>
    </row>
    <row r="210" spans="2:5">
      <c r="B210" s="245" t="str">
        <f>IF(B204=B153,B158,B175)</f>
        <v/>
      </c>
      <c r="C210" s="143"/>
      <c r="D210" s="143">
        <f>IF(B204=B153,D158,D175)</f>
        <v>0</v>
      </c>
      <c r="E210" s="144"/>
    </row>
    <row r="211" spans="2:5">
      <c r="B211" s="243">
        <f>IF(B204=B153,B159,B176)</f>
        <v>0</v>
      </c>
      <c r="C211" s="312"/>
      <c r="D211" s="313">
        <f>IF(B204=B153,J155,J177)</f>
        <v>0</v>
      </c>
      <c r="E211" s="244"/>
    </row>
    <row r="212" spans="2:5">
      <c r="B212" s="148" t="s">
        <v>28</v>
      </c>
      <c r="C212" s="100"/>
      <c r="D212" s="100">
        <f t="shared" ref="D212:D219" si="12">J199</f>
        <v>0</v>
      </c>
      <c r="E212" s="149">
        <f t="shared" ref="E212:E214" si="13">K199</f>
        <v>0</v>
      </c>
    </row>
    <row r="213" spans="2:5">
      <c r="B213" s="150" t="s">
        <v>69</v>
      </c>
      <c r="C213" s="151"/>
      <c r="D213" s="151">
        <f t="shared" si="12"/>
        <v>0</v>
      </c>
      <c r="E213" s="152">
        <f t="shared" si="13"/>
        <v>0</v>
      </c>
    </row>
    <row r="214" spans="2:5">
      <c r="B214" s="153" t="s">
        <v>29</v>
      </c>
      <c r="C214" s="103"/>
      <c r="D214" s="103">
        <f t="shared" si="12"/>
        <v>0</v>
      </c>
      <c r="E214" s="154">
        <f t="shared" si="13"/>
        <v>0</v>
      </c>
    </row>
    <row r="215" spans="2:5">
      <c r="B215" s="148" t="s">
        <v>30</v>
      </c>
      <c r="C215" s="100"/>
      <c r="D215" s="100">
        <f t="shared" si="12"/>
        <v>0</v>
      </c>
      <c r="E215" s="149"/>
    </row>
    <row r="216" spans="2:7">
      <c r="B216" s="153" t="s">
        <v>31</v>
      </c>
      <c r="C216" s="290"/>
      <c r="D216" s="103">
        <f t="shared" si="12"/>
        <v>0</v>
      </c>
      <c r="E216" s="154"/>
      <c r="F216" s="291"/>
      <c r="G216" s="291"/>
    </row>
    <row r="217" spans="2:5">
      <c r="B217" s="148" t="s">
        <v>30</v>
      </c>
      <c r="C217" s="100"/>
      <c r="D217" s="100">
        <f t="shared" si="12"/>
        <v>0</v>
      </c>
      <c r="E217" s="149"/>
    </row>
    <row r="218" spans="2:5">
      <c r="B218" s="153" t="s">
        <v>31</v>
      </c>
      <c r="C218" s="103"/>
      <c r="D218" s="103">
        <f t="shared" si="12"/>
        <v>0</v>
      </c>
      <c r="E218" s="154"/>
    </row>
    <row r="219" spans="2:5">
      <c r="B219" s="239" t="s">
        <v>33</v>
      </c>
      <c r="C219" s="108"/>
      <c r="D219" s="108">
        <f t="shared" si="12"/>
        <v>0</v>
      </c>
      <c r="E219" s="240"/>
    </row>
    <row r="220" spans="2:5">
      <c r="B220" s="241" t="s">
        <v>36</v>
      </c>
      <c r="C220" s="111"/>
      <c r="D220" s="117" t="str">
        <f>BO5计算表!K16</f>
        <v/>
      </c>
      <c r="E220" s="242" t="str">
        <f>BO5计算表!L16</f>
        <v/>
      </c>
    </row>
    <row r="221" spans="2:11">
      <c r="B221" s="136" t="s">
        <v>35</v>
      </c>
      <c r="C221" s="92"/>
      <c r="D221" s="92"/>
      <c r="E221" s="137"/>
      <c r="H221" s="106" t="s">
        <v>35</v>
      </c>
      <c r="I221" s="190"/>
      <c r="J221" s="190"/>
      <c r="K221" s="263"/>
    </row>
    <row r="222" spans="2:11">
      <c r="B222" s="133" t="str">
        <f>IF(K197="监管者",E8,IF(K197="求生者",B8,""))&amp;"求生者"</f>
        <v>求生者</v>
      </c>
      <c r="C222" s="62" t="s">
        <v>4</v>
      </c>
      <c r="D222" s="62"/>
      <c r="E222" s="138" t="str">
        <f>IF(K197="监管者",B8,IF(K197="求生者",E8,""))&amp;"监管者"</f>
        <v>监管者</v>
      </c>
      <c r="H222" s="89" t="s">
        <v>28</v>
      </c>
      <c r="I222" s="89"/>
      <c r="J222" s="308"/>
      <c r="K222" s="181"/>
    </row>
    <row r="223" spans="2:11">
      <c r="B223" s="245" t="s">
        <v>64</v>
      </c>
      <c r="C223" s="143"/>
      <c r="D223" s="143"/>
      <c r="E223" s="144"/>
      <c r="H223" s="89" t="s">
        <v>69</v>
      </c>
      <c r="I223" s="89"/>
      <c r="J223" s="309"/>
      <c r="K223" s="184"/>
    </row>
    <row r="224" spans="2:11">
      <c r="B224" s="245" t="str">
        <f>IF(B170=B222,B172,B155)</f>
        <v/>
      </c>
      <c r="C224" s="143" t="str">
        <f>IF(B170=B222,C172,C155)</f>
        <v/>
      </c>
      <c r="D224" s="143" t="str">
        <f>IF(B170=B222,D172,D155)</f>
        <v/>
      </c>
      <c r="E224" s="144" t="str">
        <f>IF(B170=B222,E172,E155)</f>
        <v/>
      </c>
      <c r="H224" s="90" t="s">
        <v>29</v>
      </c>
      <c r="I224" s="90"/>
      <c r="J224" s="310"/>
      <c r="K224" s="183"/>
    </row>
    <row r="225" spans="2:11">
      <c r="B225" s="245">
        <f>IF(B170=B222,B173,B156)</f>
        <v>0</v>
      </c>
      <c r="C225" s="143">
        <f>IF(B170=B222,C173,C156)</f>
        <v>0</v>
      </c>
      <c r="D225" s="143">
        <f>IF(B170=B222,D173,D156)</f>
        <v>0</v>
      </c>
      <c r="E225" s="144">
        <f>IF(B170=B222,E173,E156)</f>
        <v>0</v>
      </c>
      <c r="H225" s="89" t="s">
        <v>30</v>
      </c>
      <c r="I225" s="89"/>
      <c r="J225" s="309"/>
      <c r="K225" s="184"/>
    </row>
    <row r="226" spans="2:11">
      <c r="B226" s="245">
        <f>IF(B170=B222,B174,B157)</f>
        <v>0</v>
      </c>
      <c r="C226" s="143">
        <f>IF(B170=B222,C174,C157)</f>
        <v>0</v>
      </c>
      <c r="D226" s="143">
        <f>IF(B170=B222,D174,D157)</f>
        <v>0</v>
      </c>
      <c r="E226" s="144">
        <f>IF(B170=B222,E174,E157)</f>
        <v>0</v>
      </c>
      <c r="H226" s="90" t="s">
        <v>31</v>
      </c>
      <c r="I226" s="90"/>
      <c r="J226" s="310"/>
      <c r="K226" s="183"/>
    </row>
    <row r="227" spans="2:11">
      <c r="B227" s="245">
        <f>IF(B170=B222,D179,D162)</f>
        <v>0</v>
      </c>
      <c r="C227" s="143">
        <f>IF(B170=B222,E179,E162)</f>
        <v>0</v>
      </c>
      <c r="D227" s="143">
        <f>IF(B170=B222,D181,D164)</f>
        <v>0</v>
      </c>
      <c r="E227" s="144">
        <f>IF(B170=B222,D183,D166)</f>
        <v>0</v>
      </c>
      <c r="H227" s="292"/>
      <c r="I227" s="292"/>
      <c r="J227" s="309"/>
      <c r="K227" s="184"/>
    </row>
    <row r="228" spans="2:11">
      <c r="B228" s="245" t="str">
        <f>IF(B170=B222,B175,B158)</f>
        <v/>
      </c>
      <c r="C228" s="143"/>
      <c r="D228" s="143">
        <f>IF(B170=B222,D175,D158)</f>
        <v>0</v>
      </c>
      <c r="E228" s="144"/>
      <c r="H228" s="292" t="s">
        <v>30</v>
      </c>
      <c r="I228" s="292"/>
      <c r="J228" s="309"/>
      <c r="K228" s="184"/>
    </row>
    <row r="229" spans="2:11">
      <c r="B229" s="243">
        <f>IF(B170=B222,B176,B159)</f>
        <v>0</v>
      </c>
      <c r="C229" s="312"/>
      <c r="D229" s="313">
        <f>IF(B170=B222,D184,D167)</f>
        <v>0</v>
      </c>
      <c r="E229" s="244"/>
      <c r="H229" s="90" t="s">
        <v>31</v>
      </c>
      <c r="I229" s="90"/>
      <c r="J229" s="310"/>
      <c r="K229" s="183"/>
    </row>
    <row r="230" spans="2:11">
      <c r="B230" s="148" t="s">
        <v>28</v>
      </c>
      <c r="C230" s="100"/>
      <c r="D230" s="100">
        <f>J222</f>
        <v>0</v>
      </c>
      <c r="E230" s="149">
        <f t="shared" ref="E230:E232" si="14">K222</f>
        <v>0</v>
      </c>
      <c r="H230" s="89" t="s">
        <v>33</v>
      </c>
      <c r="I230" s="89"/>
      <c r="J230" s="268"/>
      <c r="K230" s="166"/>
    </row>
    <row r="231" spans="2:11">
      <c r="B231" s="150" t="s">
        <v>69</v>
      </c>
      <c r="C231" s="151"/>
      <c r="D231" s="151">
        <f>J223</f>
        <v>0</v>
      </c>
      <c r="E231" s="152">
        <f t="shared" si="14"/>
        <v>0</v>
      </c>
      <c r="H231" s="89" t="s">
        <v>34</v>
      </c>
      <c r="I231" s="89"/>
      <c r="J231" s="194"/>
      <c r="K231" s="195"/>
    </row>
    <row r="232" spans="2:5">
      <c r="B232" s="153" t="s">
        <v>29</v>
      </c>
      <c r="C232" s="103"/>
      <c r="D232" s="103">
        <f>J224</f>
        <v>0</v>
      </c>
      <c r="E232" s="154">
        <f t="shared" si="14"/>
        <v>0</v>
      </c>
    </row>
    <row r="233" spans="2:5">
      <c r="B233" s="148" t="s">
        <v>30</v>
      </c>
      <c r="C233" s="100"/>
      <c r="D233" s="100">
        <f>J225</f>
        <v>0</v>
      </c>
      <c r="E233" s="149"/>
    </row>
    <row r="234" spans="2:11">
      <c r="B234" s="153" t="s">
        <v>31</v>
      </c>
      <c r="C234" s="290"/>
      <c r="D234" s="103">
        <f>J226</f>
        <v>0</v>
      </c>
      <c r="E234" s="154"/>
      <c r="H234" s="62"/>
      <c r="I234" s="311"/>
      <c r="J234" s="311"/>
      <c r="K234" s="62"/>
    </row>
    <row r="235" spans="2:11">
      <c r="B235" s="148" t="s">
        <v>30</v>
      </c>
      <c r="C235" s="100"/>
      <c r="D235" s="100">
        <f>J228</f>
        <v>0</v>
      </c>
      <c r="E235" s="149"/>
      <c r="H235" s="293"/>
      <c r="I235" s="293"/>
      <c r="J235" s="293"/>
      <c r="K235" s="293"/>
    </row>
    <row r="236" spans="2:11">
      <c r="B236" s="153" t="s">
        <v>31</v>
      </c>
      <c r="C236" s="103"/>
      <c r="D236" s="103">
        <f>J229</f>
        <v>0</v>
      </c>
      <c r="E236" s="154"/>
      <c r="H236" s="66"/>
      <c r="I236" s="66"/>
      <c r="J236" s="66"/>
      <c r="K236" s="66"/>
    </row>
    <row r="237" spans="2:11">
      <c r="B237" s="239" t="s">
        <v>33</v>
      </c>
      <c r="C237" s="108"/>
      <c r="D237" s="108">
        <f>J230</f>
        <v>0</v>
      </c>
      <c r="E237" s="240"/>
      <c r="H237" s="66"/>
      <c r="I237" s="66"/>
      <c r="J237" s="66"/>
      <c r="K237" s="66"/>
    </row>
    <row r="238" spans="2:11">
      <c r="B238" s="294" t="s">
        <v>36</v>
      </c>
      <c r="C238" s="295"/>
      <c r="D238" s="296" t="str">
        <f>BO5计算表!K17</f>
        <v/>
      </c>
      <c r="E238" s="297" t="str">
        <f>BO5计算表!L17</f>
        <v/>
      </c>
      <c r="H238" s="293"/>
      <c r="I238" s="293"/>
      <c r="J238" s="293"/>
      <c r="K238" s="293"/>
    </row>
    <row r="239" spans="2:5">
      <c r="B239" s="248" t="s">
        <v>65</v>
      </c>
      <c r="C239" s="119"/>
      <c r="D239" s="119" t="str">
        <f>IF(ISNUMBER(FIND("获胜",D190)),D186,IF(BO5计算表!O16="","数据缺失",BO5计算表!O16&amp;"："&amp;BO5计算表!P16))</f>
        <v>数据缺失</v>
      </c>
      <c r="E239" s="249"/>
    </row>
    <row r="240" spans="2:5">
      <c r="B240" s="248"/>
      <c r="C240" s="119"/>
      <c r="D240" s="119"/>
      <c r="E240" s="249"/>
    </row>
    <row r="241" spans="2:5">
      <c r="B241" s="248" t="s">
        <v>48</v>
      </c>
      <c r="C241" s="119"/>
      <c r="D241" s="119" t="str">
        <f>IF(ISNUMBER(FIND("获胜",D190)),D188,IFERROR((SUM(BO5计算表!K8:K17))&amp;"："&amp;(SUM(BO5计算表!L8:L17)),"数据缺失"))</f>
        <v>0：0</v>
      </c>
      <c r="E241" s="249"/>
    </row>
    <row r="242" spans="2:5">
      <c r="B242" s="248"/>
      <c r="C242" s="119"/>
      <c r="D242" s="119"/>
      <c r="E242" s="249"/>
    </row>
    <row r="243" spans="2:5">
      <c r="B243" s="298" t="s">
        <v>66</v>
      </c>
      <c r="C243" s="299"/>
      <c r="D243" s="300" t="str">
        <f>IF(ISNUMBER(FIND("获胜",D190)),D190,IFERROR(IF(BO5计算表!O16="","未产生",IF(AND(BO5计算表!O16&gt;=3,BO5计算表!P16&lt;3),B8&amp;"获胜",IF(AND(BO5计算表!P16&gt;=3,BO5计算表!O16&lt;3),E8&amp;"获胜",IF(AND(BO5计算表!O16=3,BO5计算表!P16=3),"加赛","BO5")))),"未产生"))</f>
        <v>未产生</v>
      </c>
      <c r="E243" s="301"/>
    </row>
    <row r="244" spans="2:5">
      <c r="B244" s="279"/>
      <c r="C244" s="280"/>
      <c r="D244" s="280"/>
      <c r="E244" s="281"/>
    </row>
    <row r="255" spans="2:11">
      <c r="B255" s="282" t="s">
        <v>83</v>
      </c>
      <c r="C255" s="283"/>
      <c r="D255" s="283"/>
      <c r="E255" s="284"/>
      <c r="H255" s="106" t="s">
        <v>72</v>
      </c>
      <c r="I255" s="190"/>
      <c r="J255" s="190"/>
      <c r="K255" s="263"/>
    </row>
    <row r="256" spans="2:11">
      <c r="B256" s="285"/>
      <c r="C256" s="286"/>
      <c r="D256" s="286"/>
      <c r="E256" s="287"/>
      <c r="H256" s="288" t="s">
        <v>18</v>
      </c>
      <c r="I256" s="200" t="s">
        <v>56</v>
      </c>
      <c r="J256" s="302" t="s">
        <v>57</v>
      </c>
      <c r="K256" s="303" t="s">
        <v>58</v>
      </c>
    </row>
    <row r="257" spans="2:11">
      <c r="B257" s="133" t="s">
        <v>56</v>
      </c>
      <c r="C257" s="62"/>
      <c r="D257" s="62" t="str">
        <f>I257</f>
        <v>——</v>
      </c>
      <c r="E257" s="138"/>
      <c r="H257" s="132"/>
      <c r="I257" s="304" t="s">
        <v>74</v>
      </c>
      <c r="J257" s="163"/>
      <c r="K257" s="166"/>
    </row>
    <row r="258" spans="2:11">
      <c r="B258" s="133"/>
      <c r="C258" s="62"/>
      <c r="D258" s="62"/>
      <c r="E258" s="138"/>
      <c r="H258" s="289" t="s">
        <v>26</v>
      </c>
      <c r="I258" s="305"/>
      <c r="J258" s="306"/>
      <c r="K258" s="307"/>
    </row>
    <row r="259" spans="2:11">
      <c r="B259" s="133" t="s">
        <v>57</v>
      </c>
      <c r="C259" s="62"/>
      <c r="D259" s="85">
        <f>J257</f>
        <v>0</v>
      </c>
      <c r="E259" s="134"/>
      <c r="H259" s="89" t="s">
        <v>28</v>
      </c>
      <c r="I259" s="89"/>
      <c r="J259" s="180"/>
      <c r="K259" s="181"/>
    </row>
    <row r="260" spans="2:11">
      <c r="B260" s="133"/>
      <c r="C260" s="62"/>
      <c r="D260" s="85"/>
      <c r="E260" s="134"/>
      <c r="H260" s="89" t="s">
        <v>69</v>
      </c>
      <c r="I260" s="89"/>
      <c r="K260" s="184"/>
    </row>
    <row r="261" spans="2:11">
      <c r="B261" s="133" t="s">
        <v>58</v>
      </c>
      <c r="C261" s="62"/>
      <c r="D261" s="85">
        <f>K257</f>
        <v>0</v>
      </c>
      <c r="E261" s="134"/>
      <c r="H261" s="90" t="s">
        <v>29</v>
      </c>
      <c r="I261" s="90"/>
      <c r="J261" s="182"/>
      <c r="K261" s="183"/>
    </row>
    <row r="262" spans="2:11">
      <c r="B262" s="133"/>
      <c r="C262" s="62"/>
      <c r="D262" s="85"/>
      <c r="E262" s="134"/>
      <c r="H262" s="89" t="s">
        <v>30</v>
      </c>
      <c r="I262" s="89"/>
      <c r="K262" s="184"/>
    </row>
    <row r="263" spans="2:11">
      <c r="B263" s="136" t="s">
        <v>26</v>
      </c>
      <c r="C263" s="92"/>
      <c r="D263" s="92"/>
      <c r="E263" s="137"/>
      <c r="H263" s="90" t="s">
        <v>31</v>
      </c>
      <c r="I263" s="90"/>
      <c r="J263" s="182"/>
      <c r="K263" s="183"/>
    </row>
    <row r="264" spans="2:11">
      <c r="B264" s="133" t="str">
        <f>IF(K257="监管者",E8,IF(K257="求生者",B8,""))&amp;"求生者"</f>
        <v>求生者</v>
      </c>
      <c r="C264" s="62" t="s">
        <v>4</v>
      </c>
      <c r="D264" s="62"/>
      <c r="E264" s="138" t="str">
        <f>IF(K257="监管者",B8,IF(K257="求生者",E8,""))&amp;"监管者"</f>
        <v>监管者</v>
      </c>
      <c r="H264" s="89" t="s">
        <v>30</v>
      </c>
      <c r="I264" s="89"/>
      <c r="K264" s="184"/>
    </row>
    <row r="265" spans="2:11">
      <c r="B265" s="139" t="s">
        <v>64</v>
      </c>
      <c r="C265" s="140"/>
      <c r="D265" s="140"/>
      <c r="E265" s="141"/>
      <c r="H265" s="90" t="s">
        <v>31</v>
      </c>
      <c r="I265" s="90"/>
      <c r="J265" s="182"/>
      <c r="K265" s="183"/>
    </row>
    <row r="266" spans="2:11">
      <c r="B266" s="245" t="str">
        <f>IF(B204=B264,B206,B224)</f>
        <v/>
      </c>
      <c r="C266" s="143" t="str">
        <f>IF(B204=B264,C206,C224)</f>
        <v/>
      </c>
      <c r="D266" s="143" t="str">
        <f>IF(B204=B264,D206,D224)</f>
        <v/>
      </c>
      <c r="E266" s="144" t="str">
        <f>IF(B204=B264,E206,E224)</f>
        <v/>
      </c>
      <c r="H266" s="89" t="s">
        <v>33</v>
      </c>
      <c r="I266" s="89"/>
      <c r="J266" s="163"/>
      <c r="K266" s="166"/>
    </row>
    <row r="267" spans="2:11">
      <c r="B267" s="245">
        <f>IF(B204=B264,B207,B225)</f>
        <v>0</v>
      </c>
      <c r="C267" s="143">
        <f>IF(B204=B264,C207,C225)</f>
        <v>0</v>
      </c>
      <c r="D267" s="143">
        <f>IF(B204=B264,D207,D225)</f>
        <v>0</v>
      </c>
      <c r="E267" s="144">
        <f>IF(B204=B264,E207,E225)</f>
        <v>0</v>
      </c>
      <c r="H267" s="89" t="s">
        <v>34</v>
      </c>
      <c r="I267" s="89"/>
      <c r="J267" s="204"/>
      <c r="K267" s="195"/>
    </row>
    <row r="268" spans="2:5">
      <c r="B268" s="245">
        <f>IF(B204=B264,B208,B226)</f>
        <v>0</v>
      </c>
      <c r="C268" s="143">
        <f>IF(B204=B264,C208,C226)</f>
        <v>0</v>
      </c>
      <c r="D268" s="143">
        <f>IF(B204=B264,D208,D226)</f>
        <v>0</v>
      </c>
      <c r="E268" s="144">
        <f>IF(B204=B264,E208,E226)</f>
        <v>0</v>
      </c>
    </row>
    <row r="269" spans="2:5">
      <c r="B269" s="245">
        <f>IF(B204=B264,B209,B227)</f>
        <v>0</v>
      </c>
      <c r="C269" s="143">
        <f>IF(B204=B264,C209,C227)</f>
        <v>0</v>
      </c>
      <c r="D269" s="143">
        <f>IF(B204=B264,D209,D227)</f>
        <v>0</v>
      </c>
      <c r="E269" s="144">
        <f>IF(B204=B264,E209,E227)</f>
        <v>0</v>
      </c>
    </row>
    <row r="270" spans="2:5">
      <c r="B270" s="245" t="str">
        <f>IF(B204=B264,B210,B228)</f>
        <v/>
      </c>
      <c r="C270" s="143"/>
      <c r="D270" s="143">
        <f>IF(B204=B264,D210,D228)</f>
        <v>0</v>
      </c>
      <c r="E270" s="144"/>
    </row>
    <row r="271" spans="2:5">
      <c r="B271" s="243">
        <f>IF(B204=B264,B211,B229)</f>
        <v>0</v>
      </c>
      <c r="C271" s="312"/>
      <c r="D271" s="313">
        <f>IF(B204=B264,D211,D229)</f>
        <v>0</v>
      </c>
      <c r="E271" s="244"/>
    </row>
    <row r="272" spans="2:5">
      <c r="B272" s="148" t="s">
        <v>28</v>
      </c>
      <c r="C272" s="100"/>
      <c r="D272" s="100">
        <f t="shared" ref="D272:D279" si="15">J259</f>
        <v>0</v>
      </c>
      <c r="E272" s="149">
        <f t="shared" ref="E272:E274" si="16">K259</f>
        <v>0</v>
      </c>
    </row>
    <row r="273" spans="2:5">
      <c r="B273" s="150" t="s">
        <v>69</v>
      </c>
      <c r="C273" s="151"/>
      <c r="D273" s="151">
        <f t="shared" si="15"/>
        <v>0</v>
      </c>
      <c r="E273" s="152">
        <f t="shared" si="16"/>
        <v>0</v>
      </c>
    </row>
    <row r="274" spans="2:5">
      <c r="B274" s="153" t="s">
        <v>29</v>
      </c>
      <c r="C274" s="103"/>
      <c r="D274" s="103">
        <f t="shared" si="15"/>
        <v>0</v>
      </c>
      <c r="E274" s="154">
        <f t="shared" si="16"/>
        <v>0</v>
      </c>
    </row>
    <row r="275" spans="2:5">
      <c r="B275" s="148" t="s">
        <v>30</v>
      </c>
      <c r="C275" s="100"/>
      <c r="D275" s="100">
        <f t="shared" si="15"/>
        <v>0</v>
      </c>
      <c r="E275" s="149"/>
    </row>
    <row r="276" spans="2:7">
      <c r="B276" s="153" t="s">
        <v>31</v>
      </c>
      <c r="C276" s="290"/>
      <c r="D276" s="103">
        <f t="shared" si="15"/>
        <v>0</v>
      </c>
      <c r="E276" s="154"/>
      <c r="F276" s="291"/>
      <c r="G276" s="291"/>
    </row>
    <row r="277" spans="2:5">
      <c r="B277" s="148" t="s">
        <v>30</v>
      </c>
      <c r="C277" s="100"/>
      <c r="D277" s="100">
        <f t="shared" si="15"/>
        <v>0</v>
      </c>
      <c r="E277" s="149"/>
    </row>
    <row r="278" spans="2:5">
      <c r="B278" s="153" t="s">
        <v>31</v>
      </c>
      <c r="C278" s="103"/>
      <c r="D278" s="103">
        <f t="shared" si="15"/>
        <v>0</v>
      </c>
      <c r="E278" s="154"/>
    </row>
    <row r="279" spans="2:5">
      <c r="B279" s="239" t="s">
        <v>33</v>
      </c>
      <c r="C279" s="108"/>
      <c r="D279" s="108">
        <f t="shared" si="15"/>
        <v>0</v>
      </c>
      <c r="E279" s="240"/>
    </row>
    <row r="280" spans="2:5">
      <c r="B280" s="241" t="s">
        <v>36</v>
      </c>
      <c r="C280" s="111"/>
      <c r="D280" s="117" t="str">
        <f>BO5计算表!K18</f>
        <v/>
      </c>
      <c r="E280" s="242" t="str">
        <f>BO5计算表!L18</f>
        <v/>
      </c>
    </row>
    <row r="281" spans="2:11">
      <c r="B281" s="136" t="s">
        <v>35</v>
      </c>
      <c r="C281" s="92"/>
      <c r="D281" s="92"/>
      <c r="E281" s="137"/>
      <c r="H281" s="106" t="s">
        <v>35</v>
      </c>
      <c r="I281" s="190"/>
      <c r="J281" s="190"/>
      <c r="K281" s="263"/>
    </row>
    <row r="282" spans="2:11">
      <c r="B282" s="133" t="str">
        <f>IF(K257="监管者",B8,IF(K257="求生者",E8,""))&amp;"求生者"</f>
        <v>求生者</v>
      </c>
      <c r="C282" s="62" t="s">
        <v>4</v>
      </c>
      <c r="D282" s="62"/>
      <c r="E282" s="138" t="str">
        <f>IF(K257="监管者",E8,IF(K257="求生者",B8,""))&amp;"监管者"</f>
        <v>监管者</v>
      </c>
      <c r="H282" s="89" t="s">
        <v>28</v>
      </c>
      <c r="I282" s="89"/>
      <c r="J282" s="308"/>
      <c r="K282" s="181"/>
    </row>
    <row r="283" spans="2:11">
      <c r="B283" s="245" t="s">
        <v>64</v>
      </c>
      <c r="C283" s="143"/>
      <c r="D283" s="143"/>
      <c r="E283" s="144"/>
      <c r="H283" s="89" t="s">
        <v>69</v>
      </c>
      <c r="I283" s="89"/>
      <c r="J283" s="309"/>
      <c r="K283" s="184"/>
    </row>
    <row r="284" spans="2:11">
      <c r="B284" s="245" t="str">
        <f>IF(B204=B264,B224,B206)</f>
        <v/>
      </c>
      <c r="C284" s="143" t="str">
        <f>IF(B204=B264,C224,C206)</f>
        <v/>
      </c>
      <c r="D284" s="143" t="str">
        <f>IF(B204=B264,D224,D206)</f>
        <v/>
      </c>
      <c r="E284" s="144" t="str">
        <f>IF(B204=B264,E224,E206)</f>
        <v/>
      </c>
      <c r="H284" s="90" t="s">
        <v>29</v>
      </c>
      <c r="I284" s="90"/>
      <c r="J284" s="310"/>
      <c r="K284" s="183"/>
    </row>
    <row r="285" spans="2:11">
      <c r="B285" s="245">
        <f>IF(B204=B264,B225,B207)</f>
        <v>0</v>
      </c>
      <c r="C285" s="143">
        <f>IF(B204=B264,C225,C207)</f>
        <v>0</v>
      </c>
      <c r="D285" s="143">
        <f>IF(B204=B264,D225,D207)</f>
        <v>0</v>
      </c>
      <c r="E285" s="144">
        <f>IF(B204=B264,E225,E207)</f>
        <v>0</v>
      </c>
      <c r="H285" s="89" t="s">
        <v>30</v>
      </c>
      <c r="I285" s="89"/>
      <c r="J285" s="309"/>
      <c r="K285" s="184"/>
    </row>
    <row r="286" spans="2:11">
      <c r="B286" s="245">
        <f>IF(B204=B264,B226,B208)</f>
        <v>0</v>
      </c>
      <c r="C286" s="143">
        <f>IF(B204=B264,C226,C208)</f>
        <v>0</v>
      </c>
      <c r="D286" s="143">
        <f>IF(B204=B264,D226,D208)</f>
        <v>0</v>
      </c>
      <c r="E286" s="144">
        <f>IF(B204=B264,E226,E208)</f>
        <v>0</v>
      </c>
      <c r="H286" s="90" t="s">
        <v>31</v>
      </c>
      <c r="I286" s="90"/>
      <c r="J286" s="310"/>
      <c r="K286" s="183"/>
    </row>
    <row r="287" spans="2:11">
      <c r="B287" s="245">
        <f>IF(B204=B264,B227,B209)</f>
        <v>0</v>
      </c>
      <c r="C287" s="143">
        <f>IF(B204=B264,C269,C227)</f>
        <v>0</v>
      </c>
      <c r="D287" s="143">
        <f>IF(B204=B264,D227,D209)</f>
        <v>0</v>
      </c>
      <c r="E287" s="144">
        <f>IF(B204=B264,E227,E209)</f>
        <v>0</v>
      </c>
      <c r="H287" s="292" t="s">
        <v>30</v>
      </c>
      <c r="I287" s="292"/>
      <c r="J287" s="309"/>
      <c r="K287" s="184"/>
    </row>
    <row r="288" spans="2:11">
      <c r="B288" s="245" t="str">
        <f>IF(B204=B264,B228,B210)</f>
        <v/>
      </c>
      <c r="C288" s="143"/>
      <c r="D288" s="143">
        <f>IF(B204=B264,D228,D210)</f>
        <v>0</v>
      </c>
      <c r="E288" s="144"/>
      <c r="H288" s="90" t="s">
        <v>31</v>
      </c>
      <c r="I288" s="90"/>
      <c r="J288" s="310"/>
      <c r="K288" s="183"/>
    </row>
    <row r="289" spans="2:11">
      <c r="B289" s="243">
        <f>IF(B204=B264,B229,B211)</f>
        <v>0</v>
      </c>
      <c r="C289" s="312"/>
      <c r="D289" s="313">
        <f>IF(B204=B264,D229,D211)</f>
        <v>0</v>
      </c>
      <c r="E289" s="244"/>
      <c r="H289" s="89" t="s">
        <v>33</v>
      </c>
      <c r="I289" s="89"/>
      <c r="J289" s="268"/>
      <c r="K289" s="166"/>
    </row>
    <row r="290" spans="2:11">
      <c r="B290" s="148" t="s">
        <v>28</v>
      </c>
      <c r="C290" s="100"/>
      <c r="D290" s="100">
        <f t="shared" ref="D290:D294" si="17">J282</f>
        <v>0</v>
      </c>
      <c r="E290" s="149">
        <f t="shared" ref="E290:E292" si="18">K282</f>
        <v>0</v>
      </c>
      <c r="H290" s="89" t="s">
        <v>34</v>
      </c>
      <c r="I290" s="89"/>
      <c r="J290" s="194"/>
      <c r="K290" s="195"/>
    </row>
    <row r="291" spans="2:5">
      <c r="B291" s="150" t="s">
        <v>69</v>
      </c>
      <c r="C291" s="151"/>
      <c r="D291" s="151">
        <f t="shared" si="17"/>
        <v>0</v>
      </c>
      <c r="E291" s="152">
        <f t="shared" si="18"/>
        <v>0</v>
      </c>
    </row>
    <row r="292" spans="2:5">
      <c r="B292" s="153" t="s">
        <v>29</v>
      </c>
      <c r="C292" s="103"/>
      <c r="D292" s="103">
        <f t="shared" si="17"/>
        <v>0</v>
      </c>
      <c r="E292" s="154">
        <f t="shared" si="18"/>
        <v>0</v>
      </c>
    </row>
    <row r="293" spans="2:11">
      <c r="B293" s="148" t="s">
        <v>30</v>
      </c>
      <c r="C293" s="100"/>
      <c r="D293" s="100">
        <f t="shared" si="17"/>
        <v>0</v>
      </c>
      <c r="E293" s="149"/>
      <c r="H293" s="62"/>
      <c r="I293" s="311"/>
      <c r="J293" s="311"/>
      <c r="K293" s="62"/>
    </row>
    <row r="294" spans="2:11">
      <c r="B294" s="153" t="s">
        <v>31</v>
      </c>
      <c r="C294" s="290"/>
      <c r="D294" s="103">
        <f t="shared" si="17"/>
        <v>0</v>
      </c>
      <c r="E294" s="154"/>
      <c r="H294" s="293"/>
      <c r="I294" s="293"/>
      <c r="J294" s="293"/>
      <c r="K294" s="293"/>
    </row>
    <row r="295" spans="2:11">
      <c r="B295" s="148" t="s">
        <v>30</v>
      </c>
      <c r="C295" s="100"/>
      <c r="D295" s="100">
        <f t="shared" ref="D295:D297" si="19">J287</f>
        <v>0</v>
      </c>
      <c r="E295" s="149"/>
      <c r="H295" s="66"/>
      <c r="I295" s="66"/>
      <c r="J295" s="66"/>
      <c r="K295" s="66"/>
    </row>
    <row r="296" spans="2:11">
      <c r="B296" s="153" t="s">
        <v>31</v>
      </c>
      <c r="C296" s="103"/>
      <c r="D296" s="103">
        <f t="shared" si="19"/>
        <v>0</v>
      </c>
      <c r="E296" s="154"/>
      <c r="H296" s="66"/>
      <c r="I296" s="66"/>
      <c r="J296" s="66"/>
      <c r="K296" s="66"/>
    </row>
    <row r="297" spans="2:11">
      <c r="B297" s="239" t="s">
        <v>33</v>
      </c>
      <c r="C297" s="108"/>
      <c r="D297" s="108">
        <f t="shared" si="19"/>
        <v>0</v>
      </c>
      <c r="E297" s="240"/>
      <c r="H297" s="293"/>
      <c r="I297" s="293"/>
      <c r="J297" s="293"/>
      <c r="K297" s="293"/>
    </row>
    <row r="298" spans="2:5">
      <c r="B298" s="294" t="s">
        <v>36</v>
      </c>
      <c r="C298" s="295"/>
      <c r="D298" s="296" t="str">
        <f>BO5计算表!L19</f>
        <v/>
      </c>
      <c r="E298" s="297" t="str">
        <f>BO5计算表!K19</f>
        <v/>
      </c>
    </row>
    <row r="299" spans="2:5">
      <c r="B299" s="248" t="s">
        <v>65</v>
      </c>
      <c r="C299" s="119"/>
      <c r="D299" s="119" t="str">
        <f>IF(ISNUMBER(FIND("获胜",D243)),D239,IF(BO5计算表!O18="","数据缺失",BO5计算表!O18&amp;"："&amp;BO5计算表!P18))</f>
        <v>数据缺失</v>
      </c>
      <c r="E299" s="249"/>
    </row>
    <row r="300" spans="2:5">
      <c r="B300" s="248"/>
      <c r="C300" s="119"/>
      <c r="D300" s="119"/>
      <c r="E300" s="249"/>
    </row>
    <row r="301" spans="2:5">
      <c r="B301" s="248" t="s">
        <v>48</v>
      </c>
      <c r="C301" s="119"/>
      <c r="D301" s="119" t="str">
        <f>IF(ISNUMBER(FIND("获胜",D243)),D241,IFERROR((SUM(BO5计算表!K8:K19))&amp;"："&amp;(SUM(BO5计算表!L8:L19)),"数据缺失"))</f>
        <v>0：0</v>
      </c>
      <c r="E301" s="249"/>
    </row>
    <row r="302" spans="2:5">
      <c r="B302" s="248"/>
      <c r="C302" s="119"/>
      <c r="D302" s="119"/>
      <c r="E302" s="249"/>
    </row>
    <row r="303" spans="2:5">
      <c r="B303" s="298" t="s">
        <v>66</v>
      </c>
      <c r="C303" s="299"/>
      <c r="D303" s="300" t="str">
        <f>IF(ISNUMBER(FIND("获胜",D243)),D243,IFERROR(IF(BO5计算表!O18="","未产生",IF(BO5计算表!O18&gt;BO5计算表!P18,B8&amp;"获胜",IF(BO5计算表!O18&lt;BO5计算表!P18,E8&amp;"获胜","看时间"))),"未产生"))</f>
        <v>未产生</v>
      </c>
      <c r="E303" s="301"/>
    </row>
    <row r="304" spans="2:5">
      <c r="B304" s="279"/>
      <c r="C304" s="280"/>
      <c r="D304" s="280"/>
      <c r="E304" s="281"/>
    </row>
  </sheetData>
  <mergeCells count="534">
    <mergeCell ref="B4:E4"/>
    <mergeCell ref="H4:K4"/>
    <mergeCell ref="P4:Q4"/>
    <mergeCell ref="H12:K12"/>
    <mergeCell ref="R12:S12"/>
    <mergeCell ref="H16:K16"/>
    <mergeCell ref="H17:I17"/>
    <mergeCell ref="H18:I18"/>
    <mergeCell ref="B19:E19"/>
    <mergeCell ref="H19:I19"/>
    <mergeCell ref="J19:K19"/>
    <mergeCell ref="C20:D20"/>
    <mergeCell ref="H20:I20"/>
    <mergeCell ref="J20:K20"/>
    <mergeCell ref="B21:E21"/>
    <mergeCell ref="H21:I21"/>
    <mergeCell ref="J21:K21"/>
    <mergeCell ref="B22:C22"/>
    <mergeCell ref="H22:I22"/>
    <mergeCell ref="J22:K22"/>
    <mergeCell ref="B23:C23"/>
    <mergeCell ref="H23:I23"/>
    <mergeCell ref="J23:K23"/>
    <mergeCell ref="B24:C24"/>
    <mergeCell ref="D24:E24"/>
    <mergeCell ref="H24:I24"/>
    <mergeCell ref="J24:K24"/>
    <mergeCell ref="B25:C25"/>
    <mergeCell ref="D25:E25"/>
    <mergeCell ref="H25:K25"/>
    <mergeCell ref="B26:C26"/>
    <mergeCell ref="D26:E26"/>
    <mergeCell ref="H26:I26"/>
    <mergeCell ref="B27:C27"/>
    <mergeCell ref="D27:E27"/>
    <mergeCell ref="H27:I27"/>
    <mergeCell ref="B28:C28"/>
    <mergeCell ref="D28:E28"/>
    <mergeCell ref="H28:I28"/>
    <mergeCell ref="J28:K28"/>
    <mergeCell ref="B29:C29"/>
    <mergeCell ref="H29:I29"/>
    <mergeCell ref="J29:K29"/>
    <mergeCell ref="B30:E30"/>
    <mergeCell ref="H30:I30"/>
    <mergeCell ref="J30:K30"/>
    <mergeCell ref="R30:T30"/>
    <mergeCell ref="C31:D31"/>
    <mergeCell ref="H31:I31"/>
    <mergeCell ref="J31:K31"/>
    <mergeCell ref="B32:E32"/>
    <mergeCell ref="H32:I32"/>
    <mergeCell ref="J32:K32"/>
    <mergeCell ref="B33:C33"/>
    <mergeCell ref="H33:I33"/>
    <mergeCell ref="J33:K33"/>
    <mergeCell ref="P33:T33"/>
    <mergeCell ref="B34:C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P39:T39"/>
    <mergeCell ref="B40:C40"/>
    <mergeCell ref="H48:K48"/>
    <mergeCell ref="H51:K51"/>
    <mergeCell ref="H52:I52"/>
    <mergeCell ref="H53:I53"/>
    <mergeCell ref="J53:K53"/>
    <mergeCell ref="H54:I54"/>
    <mergeCell ref="H55:I55"/>
    <mergeCell ref="J55:K55"/>
    <mergeCell ref="B56:E56"/>
    <mergeCell ref="H56:I56"/>
    <mergeCell ref="J56:K56"/>
    <mergeCell ref="C57:D57"/>
    <mergeCell ref="H57:I57"/>
    <mergeCell ref="J57:K57"/>
    <mergeCell ref="B58:E58"/>
    <mergeCell ref="H58:I58"/>
    <mergeCell ref="J58:K58"/>
    <mergeCell ref="H59:I59"/>
    <mergeCell ref="J59:K59"/>
    <mergeCell ref="B60:E60"/>
    <mergeCell ref="H60:I60"/>
    <mergeCell ref="J60:K60"/>
    <mergeCell ref="B61:C61"/>
    <mergeCell ref="B62:C62"/>
    <mergeCell ref="D62:E62"/>
    <mergeCell ref="B63:C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B70:E70"/>
    <mergeCell ref="H70:K70"/>
    <mergeCell ref="C71:D71"/>
    <mergeCell ref="H71:I71"/>
    <mergeCell ref="B72:E72"/>
    <mergeCell ref="H72:I72"/>
    <mergeCell ref="J72:K72"/>
    <mergeCell ref="H73:I73"/>
    <mergeCell ref="B74:E74"/>
    <mergeCell ref="H74:I74"/>
    <mergeCell ref="J74:K74"/>
    <mergeCell ref="B75:C75"/>
    <mergeCell ref="H75:I75"/>
    <mergeCell ref="J75:K75"/>
    <mergeCell ref="B76:C76"/>
    <mergeCell ref="D76:E76"/>
    <mergeCell ref="H76:I76"/>
    <mergeCell ref="J76:K76"/>
    <mergeCell ref="B77:C77"/>
    <mergeCell ref="H77:I77"/>
    <mergeCell ref="J77:K77"/>
    <mergeCell ref="B78:C78"/>
    <mergeCell ref="D78:E78"/>
    <mergeCell ref="H78:I78"/>
    <mergeCell ref="J78:K78"/>
    <mergeCell ref="B79:C79"/>
    <mergeCell ref="D79:E79"/>
    <mergeCell ref="H79:I79"/>
    <mergeCell ref="J79:K79"/>
    <mergeCell ref="B80:C80"/>
    <mergeCell ref="D80:E80"/>
    <mergeCell ref="B81:C81"/>
    <mergeCell ref="D81:E81"/>
    <mergeCell ref="B82:C82"/>
    <mergeCell ref="D82:E82"/>
    <mergeCell ref="B83:C83"/>
    <mergeCell ref="H92:K92"/>
    <mergeCell ref="H95:K95"/>
    <mergeCell ref="H96:I96"/>
    <mergeCell ref="H97:I97"/>
    <mergeCell ref="H98:I98"/>
    <mergeCell ref="B99:E99"/>
    <mergeCell ref="H99:I99"/>
    <mergeCell ref="J99:K99"/>
    <mergeCell ref="C100:D100"/>
    <mergeCell ref="H100:I100"/>
    <mergeCell ref="J100:K100"/>
    <mergeCell ref="B101:E101"/>
    <mergeCell ref="H101:I101"/>
    <mergeCell ref="J101:K101"/>
    <mergeCell ref="H102:I102"/>
    <mergeCell ref="J102:K102"/>
    <mergeCell ref="H103:I103"/>
    <mergeCell ref="J103:K103"/>
    <mergeCell ref="B104:C104"/>
    <mergeCell ref="D104:E104"/>
    <mergeCell ref="H104:I104"/>
    <mergeCell ref="J104:K104"/>
    <mergeCell ref="B105:C105"/>
    <mergeCell ref="B106:C106"/>
    <mergeCell ref="B107:C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B114:E114"/>
    <mergeCell ref="H114:K114"/>
    <mergeCell ref="C115:D115"/>
    <mergeCell ref="H115:I115"/>
    <mergeCell ref="B116:E116"/>
    <mergeCell ref="H116:I116"/>
    <mergeCell ref="H117:I117"/>
    <mergeCell ref="H118:I118"/>
    <mergeCell ref="J118:K118"/>
    <mergeCell ref="B119:C119"/>
    <mergeCell ref="D119:E119"/>
    <mergeCell ref="H119:I119"/>
    <mergeCell ref="J119:K119"/>
    <mergeCell ref="B120:C120"/>
    <mergeCell ref="H120:I120"/>
    <mergeCell ref="J120:K120"/>
    <mergeCell ref="B121:C121"/>
    <mergeCell ref="H121:I121"/>
    <mergeCell ref="J121:K121"/>
    <mergeCell ref="B122:C122"/>
    <mergeCell ref="H122:I122"/>
    <mergeCell ref="J122:K122"/>
    <mergeCell ref="B123:C123"/>
    <mergeCell ref="D123:E123"/>
    <mergeCell ref="H123:I123"/>
    <mergeCell ref="J123:K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H144:K144"/>
    <mergeCell ref="H147:K147"/>
    <mergeCell ref="H148:I148"/>
    <mergeCell ref="H149:I149"/>
    <mergeCell ref="H150:I150"/>
    <mergeCell ref="H151:I151"/>
    <mergeCell ref="J151:K151"/>
    <mergeCell ref="B152:E152"/>
    <mergeCell ref="H152:I152"/>
    <mergeCell ref="J152:K152"/>
    <mergeCell ref="C153:D153"/>
    <mergeCell ref="H153:I153"/>
    <mergeCell ref="J153:K153"/>
    <mergeCell ref="B154:E154"/>
    <mergeCell ref="H154:I154"/>
    <mergeCell ref="J154:K154"/>
    <mergeCell ref="H155:I155"/>
    <mergeCell ref="J155:K155"/>
    <mergeCell ref="H156:I156"/>
    <mergeCell ref="J156:K156"/>
    <mergeCell ref="B158:C158"/>
    <mergeCell ref="D158:E158"/>
    <mergeCell ref="B159:E159"/>
    <mergeCell ref="B160:C160"/>
    <mergeCell ref="B161:C161"/>
    <mergeCell ref="B162:C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B169:E169"/>
    <mergeCell ref="H169:K169"/>
    <mergeCell ref="C170:D170"/>
    <mergeCell ref="H170:I170"/>
    <mergeCell ref="B171:E171"/>
    <mergeCell ref="H171:I171"/>
    <mergeCell ref="H172:I172"/>
    <mergeCell ref="H173:I173"/>
    <mergeCell ref="J173:K173"/>
    <mergeCell ref="H174:I174"/>
    <mergeCell ref="J174:K174"/>
    <mergeCell ref="B175:C175"/>
    <mergeCell ref="D175:E175"/>
    <mergeCell ref="H175:I175"/>
    <mergeCell ref="J175:K175"/>
    <mergeCell ref="B176:E176"/>
    <mergeCell ref="H176:I176"/>
    <mergeCell ref="J176:K176"/>
    <mergeCell ref="B177:C177"/>
    <mergeCell ref="H177:I177"/>
    <mergeCell ref="J177:K177"/>
    <mergeCell ref="B178:C178"/>
    <mergeCell ref="H178:I178"/>
    <mergeCell ref="J178:K178"/>
    <mergeCell ref="B179:C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H195:K195"/>
    <mergeCell ref="H198:K198"/>
    <mergeCell ref="H199:I199"/>
    <mergeCell ref="H200:I200"/>
    <mergeCell ref="H201:I201"/>
    <mergeCell ref="H202:I202"/>
    <mergeCell ref="J202:K202"/>
    <mergeCell ref="B203:E203"/>
    <mergeCell ref="H203:I203"/>
    <mergeCell ref="J203:K203"/>
    <mergeCell ref="C204:D204"/>
    <mergeCell ref="H204:I204"/>
    <mergeCell ref="J204:K204"/>
    <mergeCell ref="B205:E205"/>
    <mergeCell ref="H205:I205"/>
    <mergeCell ref="J205:K205"/>
    <mergeCell ref="H206:I206"/>
    <mergeCell ref="J206:K206"/>
    <mergeCell ref="H207:I207"/>
    <mergeCell ref="J207:K207"/>
    <mergeCell ref="B210:C210"/>
    <mergeCell ref="D210:E210"/>
    <mergeCell ref="B211:C211"/>
    <mergeCell ref="D211:E211"/>
    <mergeCell ref="B212:C212"/>
    <mergeCell ref="B213:C213"/>
    <mergeCell ref="B214:C214"/>
    <mergeCell ref="B215:C215"/>
    <mergeCell ref="D215:E215"/>
    <mergeCell ref="B216:C216"/>
    <mergeCell ref="D216:E216"/>
    <mergeCell ref="B217:C217"/>
    <mergeCell ref="D217:E217"/>
    <mergeCell ref="B218:C218"/>
    <mergeCell ref="D218:E218"/>
    <mergeCell ref="B219:C219"/>
    <mergeCell ref="D219:E219"/>
    <mergeCell ref="B220:C220"/>
    <mergeCell ref="B221:E221"/>
    <mergeCell ref="H221:K221"/>
    <mergeCell ref="C222:D222"/>
    <mergeCell ref="H222:I222"/>
    <mergeCell ref="B223:E223"/>
    <mergeCell ref="H223:I223"/>
    <mergeCell ref="H224:I224"/>
    <mergeCell ref="H225:I225"/>
    <mergeCell ref="J225:K225"/>
    <mergeCell ref="H226:I226"/>
    <mergeCell ref="J226:K226"/>
    <mergeCell ref="B228:C228"/>
    <mergeCell ref="D228:E228"/>
    <mergeCell ref="H228:I228"/>
    <mergeCell ref="J228:K228"/>
    <mergeCell ref="B229:C229"/>
    <mergeCell ref="D229:E229"/>
    <mergeCell ref="H229:I229"/>
    <mergeCell ref="J229:K229"/>
    <mergeCell ref="B230:C230"/>
    <mergeCell ref="H230:I230"/>
    <mergeCell ref="J230:K230"/>
    <mergeCell ref="B231:C231"/>
    <mergeCell ref="H231:I231"/>
    <mergeCell ref="J231:K231"/>
    <mergeCell ref="B232:C232"/>
    <mergeCell ref="B233:C233"/>
    <mergeCell ref="D233:E233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H255:K255"/>
    <mergeCell ref="H258:K258"/>
    <mergeCell ref="H259:I259"/>
    <mergeCell ref="H260:I260"/>
    <mergeCell ref="H261:I261"/>
    <mergeCell ref="H262:I262"/>
    <mergeCell ref="J262:K262"/>
    <mergeCell ref="B263:E263"/>
    <mergeCell ref="H263:I263"/>
    <mergeCell ref="J263:K263"/>
    <mergeCell ref="C264:D264"/>
    <mergeCell ref="H264:I264"/>
    <mergeCell ref="J264:K264"/>
    <mergeCell ref="B265:E265"/>
    <mergeCell ref="H265:I265"/>
    <mergeCell ref="J265:K265"/>
    <mergeCell ref="H266:I266"/>
    <mergeCell ref="J266:K266"/>
    <mergeCell ref="H267:I267"/>
    <mergeCell ref="J267:K267"/>
    <mergeCell ref="B270:C270"/>
    <mergeCell ref="D270:E270"/>
    <mergeCell ref="B271:C271"/>
    <mergeCell ref="D271:E271"/>
    <mergeCell ref="B272:C272"/>
    <mergeCell ref="B273:C273"/>
    <mergeCell ref="B274:C274"/>
    <mergeCell ref="B275:C275"/>
    <mergeCell ref="D275:E275"/>
    <mergeCell ref="B276:C276"/>
    <mergeCell ref="D276:E276"/>
    <mergeCell ref="B277:C277"/>
    <mergeCell ref="D277:E277"/>
    <mergeCell ref="B278:C278"/>
    <mergeCell ref="D278:E278"/>
    <mergeCell ref="B279:C279"/>
    <mergeCell ref="D279:E279"/>
    <mergeCell ref="B280:C280"/>
    <mergeCell ref="B281:E281"/>
    <mergeCell ref="H281:K281"/>
    <mergeCell ref="C282:D282"/>
    <mergeCell ref="H282:I282"/>
    <mergeCell ref="B283:E283"/>
    <mergeCell ref="H283:I283"/>
    <mergeCell ref="H284:I284"/>
    <mergeCell ref="H285:I285"/>
    <mergeCell ref="J285:K285"/>
    <mergeCell ref="H286:I286"/>
    <mergeCell ref="J286:K286"/>
    <mergeCell ref="H287:I287"/>
    <mergeCell ref="J287:K287"/>
    <mergeCell ref="B288:C288"/>
    <mergeCell ref="D288:E288"/>
    <mergeCell ref="H288:I288"/>
    <mergeCell ref="J288:K288"/>
    <mergeCell ref="B289:C289"/>
    <mergeCell ref="D289:E289"/>
    <mergeCell ref="H289:I289"/>
    <mergeCell ref="J289:K289"/>
    <mergeCell ref="B290:C290"/>
    <mergeCell ref="H290:I290"/>
    <mergeCell ref="J290:K290"/>
    <mergeCell ref="B291:C291"/>
    <mergeCell ref="B292:C292"/>
    <mergeCell ref="B293:C293"/>
    <mergeCell ref="D293:E293"/>
    <mergeCell ref="B294:C294"/>
    <mergeCell ref="D294:E294"/>
    <mergeCell ref="B295:C295"/>
    <mergeCell ref="D295:E295"/>
    <mergeCell ref="B296:C296"/>
    <mergeCell ref="D296:E296"/>
    <mergeCell ref="B297:C297"/>
    <mergeCell ref="D297:E297"/>
    <mergeCell ref="B298:C298"/>
    <mergeCell ref="B12:B14"/>
    <mergeCell ref="B15:B16"/>
    <mergeCell ref="B17:B18"/>
    <mergeCell ref="B50:B51"/>
    <mergeCell ref="B52:B53"/>
    <mergeCell ref="B54:B55"/>
    <mergeCell ref="H7:H8"/>
    <mergeCell ref="H9:H10"/>
    <mergeCell ref="H13:H15"/>
    <mergeCell ref="H49:H50"/>
    <mergeCell ref="H93:H94"/>
    <mergeCell ref="H145:H146"/>
    <mergeCell ref="H196:H197"/>
    <mergeCell ref="H256:H257"/>
    <mergeCell ref="J14:J15"/>
    <mergeCell ref="K14:K15"/>
    <mergeCell ref="S42:S44"/>
    <mergeCell ref="T13:T14"/>
    <mergeCell ref="T42:T44"/>
    <mergeCell ref="B1:E2"/>
    <mergeCell ref="C7:D8"/>
    <mergeCell ref="B10:E11"/>
    <mergeCell ref="C12:E14"/>
    <mergeCell ref="P12:Q14"/>
    <mergeCell ref="R13:S14"/>
    <mergeCell ref="C15:E16"/>
    <mergeCell ref="P15:T23"/>
    <mergeCell ref="C17:E18"/>
    <mergeCell ref="P30:Q32"/>
    <mergeCell ref="R31:T32"/>
    <mergeCell ref="P34:T38"/>
    <mergeCell ref="P40:T41"/>
    <mergeCell ref="B41:C42"/>
    <mergeCell ref="D41:E42"/>
    <mergeCell ref="P42:R44"/>
    <mergeCell ref="B43:C44"/>
    <mergeCell ref="D43:E44"/>
    <mergeCell ref="B48:E49"/>
    <mergeCell ref="C50:E51"/>
    <mergeCell ref="C52:E53"/>
    <mergeCell ref="C54:E55"/>
    <mergeCell ref="B84:C85"/>
    <mergeCell ref="D84:E85"/>
    <mergeCell ref="B86:C87"/>
    <mergeCell ref="D86:E87"/>
    <mergeCell ref="B197:C198"/>
    <mergeCell ref="D197:E198"/>
    <mergeCell ref="B91:E92"/>
    <mergeCell ref="B93:C94"/>
    <mergeCell ref="D93:E94"/>
    <mergeCell ref="B95:C96"/>
    <mergeCell ref="D95:E96"/>
    <mergeCell ref="B97:C98"/>
    <mergeCell ref="D97:E98"/>
    <mergeCell ref="B129:C130"/>
    <mergeCell ref="D129:E130"/>
    <mergeCell ref="B131:C132"/>
    <mergeCell ref="D131:E132"/>
    <mergeCell ref="B133:C134"/>
    <mergeCell ref="D133:E134"/>
    <mergeCell ref="B144:E145"/>
    <mergeCell ref="B146:C147"/>
    <mergeCell ref="D146:E147"/>
    <mergeCell ref="B148:C149"/>
    <mergeCell ref="D148:E149"/>
    <mergeCell ref="B150:C151"/>
    <mergeCell ref="D150:E151"/>
    <mergeCell ref="B186:C187"/>
    <mergeCell ref="D186:E187"/>
    <mergeCell ref="B188:C189"/>
    <mergeCell ref="D188:E189"/>
    <mergeCell ref="B190:C191"/>
    <mergeCell ref="D190:E191"/>
    <mergeCell ref="B195:E196"/>
    <mergeCell ref="B199:C200"/>
    <mergeCell ref="D199:E200"/>
    <mergeCell ref="B201:C202"/>
    <mergeCell ref="D201:E202"/>
    <mergeCell ref="B239:C240"/>
    <mergeCell ref="D239:E240"/>
    <mergeCell ref="B241:C242"/>
    <mergeCell ref="D241:E242"/>
    <mergeCell ref="B243:C244"/>
    <mergeCell ref="D243:E244"/>
    <mergeCell ref="B255:E256"/>
    <mergeCell ref="B257:C258"/>
    <mergeCell ref="D257:E258"/>
    <mergeCell ref="B259:C260"/>
    <mergeCell ref="D259:E260"/>
    <mergeCell ref="B261:C262"/>
    <mergeCell ref="D261:E262"/>
    <mergeCell ref="B299:C300"/>
    <mergeCell ref="D299:E300"/>
    <mergeCell ref="B301:C302"/>
    <mergeCell ref="D301:E302"/>
    <mergeCell ref="B303:C304"/>
    <mergeCell ref="D303:E304"/>
  </mergeCells>
  <conditionalFormatting sqref="H16:K16">
    <cfRule type="duplicateValues" priority="1"/>
  </conditionalFormatting>
  <conditionalFormatting sqref="B59">
    <cfRule type="duplicateValues" dxfId="0" priority="2"/>
  </conditionalFormatting>
  <dataValidations count="6">
    <dataValidation type="list" allowBlank="1" showErrorMessage="1" errorTitle="错误提示" error="请输入下拉列表中的值" sqref="I10" errorStyle="information">
      <formula1>"2026,2027,2028"</formula1>
    </dataValidation>
    <dataValidation type="list" allowBlank="1" showErrorMessage="1" errorTitle="错误提示" error="请输入下拉列表中的值" sqref="J10" errorStyle="information">
      <formula1>"1,2,3,4,5,6,7,8,9,10,11,12"</formula1>
    </dataValidation>
    <dataValidation type="list" allowBlank="1" showErrorMessage="1" errorTitle="错误提示" error="请输入下拉列表中的值" sqref="J24:K24 J33:K33 J60:K60 J79:K79 J104:K104 J123:K123 J156:K156 J178:K178 J207:K207 J231:K231 J267:K267 J290:K290" errorStyle="information">
      <formula1>"四抓,三抓,平局,三跑,四跑"</formula1>
    </dataValidation>
    <dataValidation type="list" allowBlank="1" showInputMessage="1" showErrorMessage="1" errorTitle="错误提示" error="请输入一个文本：长度介于  至  之间" sqref="I50" errorStyle="information">
      <formula1>"军工厂,圣心医院,红教堂,湖景村,月亮河公园,里奥的回忆,唐人街,不归林"</formula1>
    </dataValidation>
    <dataValidation type="list" allowBlank="1" showErrorMessage="1" errorTitle="错误提示" error="请输入下拉列表中的值" sqref="J50 I94:J94 J146 J197 J257 I14:J15" errorStyle="information">
      <formula1>"军工厂,圣心医院,红教堂,湖景村,月亮河公园,里奥的回忆,唐人街,不归林"</formula1>
    </dataValidation>
    <dataValidation type="list" allowBlank="1" showErrorMessage="1" errorTitle="错误提示" error="请输入下拉列表中的值" sqref="K50 K94 K146 K197 K257 K14:K15" errorStyle="information">
      <formula1>"求生者,监管者"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1"/>
  <sheetViews>
    <sheetView workbookViewId="0">
      <selection activeCell="F29" sqref="F29"/>
    </sheetView>
  </sheetViews>
  <sheetFormatPr defaultColWidth="9" defaultRowHeight="14.25" outlineLevelCol="4"/>
  <cols>
    <col min="1" max="16384" width="9" style="34"/>
  </cols>
  <sheetData>
    <row r="2" spans="2:5">
      <c r="B2" s="35" t="s">
        <v>84</v>
      </c>
      <c r="C2" s="35"/>
      <c r="D2" s="35"/>
      <c r="E2" s="35"/>
    </row>
    <row r="3" spans="2:5">
      <c r="B3" s="35"/>
      <c r="C3" s="35"/>
      <c r="D3" s="35"/>
      <c r="E3" s="35"/>
    </row>
    <row r="4" spans="2:5">
      <c r="B4" s="35"/>
      <c r="C4" s="35"/>
      <c r="D4" s="35"/>
      <c r="E4" s="35"/>
    </row>
    <row r="7" spans="2:5">
      <c r="B7" s="36" t="s">
        <v>85</v>
      </c>
      <c r="C7" s="37"/>
      <c r="D7" s="37"/>
      <c r="E7" s="38"/>
    </row>
    <row r="8" spans="2:5">
      <c r="B8" s="39"/>
      <c r="C8" s="40"/>
      <c r="D8" s="40"/>
      <c r="E8" s="41"/>
    </row>
    <row r="9" spans="2:5">
      <c r="B9" s="39"/>
      <c r="C9" s="40"/>
      <c r="D9" s="40"/>
      <c r="E9" s="41"/>
    </row>
    <row r="10" spans="2:5">
      <c r="B10" s="39"/>
      <c r="C10" s="40"/>
      <c r="D10" s="40"/>
      <c r="E10" s="41"/>
    </row>
    <row r="11" spans="2:5">
      <c r="B11" s="39"/>
      <c r="C11" s="40"/>
      <c r="D11" s="40"/>
      <c r="E11" s="41"/>
    </row>
    <row r="12" spans="2:5">
      <c r="B12" s="39"/>
      <c r="C12" s="40"/>
      <c r="D12" s="40"/>
      <c r="E12" s="41"/>
    </row>
    <row r="13" spans="2:5">
      <c r="B13" s="39"/>
      <c r="C13" s="40"/>
      <c r="D13" s="40"/>
      <c r="E13" s="41"/>
    </row>
    <row r="14" spans="2:5">
      <c r="B14" s="39"/>
      <c r="C14" s="40"/>
      <c r="D14" s="40"/>
      <c r="E14" s="41"/>
    </row>
    <row r="15" spans="2:5">
      <c r="B15" s="39"/>
      <c r="C15" s="40"/>
      <c r="D15" s="40"/>
      <c r="E15" s="41"/>
    </row>
    <row r="16" spans="2:5">
      <c r="B16" s="42"/>
      <c r="C16" s="43"/>
      <c r="D16" s="43"/>
      <c r="E16" s="44"/>
    </row>
    <row r="19" spans="2:5">
      <c r="B19" s="45" t="s">
        <v>86</v>
      </c>
      <c r="C19" s="46"/>
      <c r="D19" s="46"/>
      <c r="E19" s="47"/>
    </row>
    <row r="20" spans="2:5">
      <c r="B20" s="48"/>
      <c r="C20" s="49"/>
      <c r="D20" s="49"/>
      <c r="E20" s="50"/>
    </row>
    <row r="21" spans="2:5">
      <c r="B21" s="48"/>
      <c r="C21" s="49"/>
      <c r="D21" s="49"/>
      <c r="E21" s="50"/>
    </row>
    <row r="22" spans="2:5">
      <c r="B22" s="48"/>
      <c r="C22" s="49"/>
      <c r="D22" s="49"/>
      <c r="E22" s="50"/>
    </row>
    <row r="23" spans="2:5">
      <c r="B23" s="48"/>
      <c r="C23" s="49"/>
      <c r="D23" s="49"/>
      <c r="E23" s="50"/>
    </row>
    <row r="24" spans="2:5">
      <c r="B24" s="48"/>
      <c r="C24" s="49"/>
      <c r="D24" s="49"/>
      <c r="E24" s="50"/>
    </row>
    <row r="25" spans="2:5">
      <c r="B25" s="48"/>
      <c r="C25" s="49"/>
      <c r="D25" s="49"/>
      <c r="E25" s="50"/>
    </row>
    <row r="26" spans="2:5">
      <c r="B26" s="48"/>
      <c r="C26" s="49"/>
      <c r="D26" s="49"/>
      <c r="E26" s="50"/>
    </row>
    <row r="27" spans="2:5">
      <c r="B27" s="48"/>
      <c r="C27" s="49"/>
      <c r="D27" s="49"/>
      <c r="E27" s="50"/>
    </row>
    <row r="28" spans="2:5">
      <c r="B28" s="51"/>
      <c r="C28" s="52"/>
      <c r="D28" s="52"/>
      <c r="E28" s="53"/>
    </row>
    <row r="31" spans="2:5">
      <c r="B31" s="36" t="s">
        <v>87</v>
      </c>
      <c r="C31" s="37"/>
      <c r="D31" s="37"/>
      <c r="E31" s="38"/>
    </row>
    <row r="32" spans="2:5">
      <c r="B32" s="39"/>
      <c r="C32" s="54"/>
      <c r="D32" s="54"/>
      <c r="E32" s="41"/>
    </row>
    <row r="33" spans="2:5">
      <c r="B33" s="39"/>
      <c r="C33" s="54"/>
      <c r="D33" s="54"/>
      <c r="E33" s="41"/>
    </row>
    <row r="34" spans="2:5">
      <c r="B34" s="39"/>
      <c r="C34" s="54"/>
      <c r="D34" s="54"/>
      <c r="E34" s="41"/>
    </row>
    <row r="35" spans="2:5">
      <c r="B35" s="39"/>
      <c r="C35" s="54"/>
      <c r="D35" s="54"/>
      <c r="E35" s="41"/>
    </row>
    <row r="36" spans="2:5">
      <c r="B36" s="39"/>
      <c r="C36" s="54"/>
      <c r="D36" s="54"/>
      <c r="E36" s="41"/>
    </row>
    <row r="37" spans="2:5">
      <c r="B37" s="39"/>
      <c r="C37" s="54"/>
      <c r="D37" s="54"/>
      <c r="E37" s="41"/>
    </row>
    <row r="38" spans="2:5">
      <c r="B38" s="39"/>
      <c r="C38" s="54"/>
      <c r="D38" s="54"/>
      <c r="E38" s="41"/>
    </row>
    <row r="39" spans="2:5">
      <c r="B39" s="42"/>
      <c r="C39" s="43"/>
      <c r="D39" s="43"/>
      <c r="E39" s="44"/>
    </row>
    <row r="40" spans="2:5">
      <c r="B40" s="55"/>
      <c r="C40" s="55"/>
      <c r="D40" s="55"/>
      <c r="E40" s="55"/>
    </row>
    <row r="41" spans="2:5">
      <c r="B41" s="55"/>
      <c r="C41" s="55"/>
      <c r="D41" s="55"/>
      <c r="E41" s="55"/>
    </row>
  </sheetData>
  <mergeCells count="4">
    <mergeCell ref="B2:E4"/>
    <mergeCell ref="B7:E16"/>
    <mergeCell ref="B19:E28"/>
    <mergeCell ref="B31:E3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5"/>
  <sheetViews>
    <sheetView workbookViewId="0">
      <selection activeCell="C41" sqref="C41"/>
    </sheetView>
  </sheetViews>
  <sheetFormatPr defaultColWidth="9" defaultRowHeight="14.25"/>
  <cols>
    <col min="1" max="1" width="8.625" style="18" customWidth="1"/>
    <col min="2" max="4" width="9" style="18"/>
    <col min="5" max="5" width="12.625" style="18" customWidth="1"/>
    <col min="6" max="6" width="12.75" style="18" customWidth="1"/>
    <col min="7" max="7" width="13" style="18" customWidth="1"/>
    <col min="8" max="16384" width="9" style="18"/>
  </cols>
  <sheetData>
    <row r="2" spans="2:4">
      <c r="B2" s="2" t="s">
        <v>88</v>
      </c>
      <c r="C2" s="19"/>
      <c r="D2" s="19"/>
    </row>
    <row r="3" spans="2:4">
      <c r="B3" s="19"/>
      <c r="C3" s="19"/>
      <c r="D3" s="19"/>
    </row>
    <row r="4" spans="2:4">
      <c r="B4" s="19"/>
      <c r="C4" s="19"/>
      <c r="D4" s="19"/>
    </row>
    <row r="7" spans="1:15">
      <c r="A7" s="20" t="s">
        <v>89</v>
      </c>
      <c r="B7" s="21" t="s">
        <v>90</v>
      </c>
      <c r="C7" s="21" t="s">
        <v>91</v>
      </c>
      <c r="D7" s="21" t="s">
        <v>92</v>
      </c>
      <c r="E7" s="21" t="s">
        <v>93</v>
      </c>
      <c r="F7" s="21" t="s">
        <v>94</v>
      </c>
      <c r="G7" s="21" t="s">
        <v>95</v>
      </c>
      <c r="H7" s="21" t="s">
        <v>34</v>
      </c>
      <c r="I7" s="21" t="s">
        <v>96</v>
      </c>
      <c r="J7" s="21" t="s">
        <v>97</v>
      </c>
      <c r="K7" s="21" t="s">
        <v>98</v>
      </c>
      <c r="L7" s="21" t="s">
        <v>99</v>
      </c>
      <c r="M7" s="21" t="s">
        <v>100</v>
      </c>
      <c r="N7" s="21" t="s">
        <v>101</v>
      </c>
      <c r="O7" s="29" t="s">
        <v>102</v>
      </c>
    </row>
    <row r="8" spans="1:15">
      <c r="A8" s="22">
        <v>1</v>
      </c>
      <c r="B8" s="23" t="s">
        <v>103</v>
      </c>
      <c r="C8" s="23">
        <f>'BO3'!I8</f>
        <v>0</v>
      </c>
      <c r="D8" s="23">
        <f>'BO3'!J8</f>
        <v>0</v>
      </c>
      <c r="E8" s="23" t="str">
        <f>IF('BO3'!K14="监管者","求生者","监管者")</f>
        <v>监管者</v>
      </c>
      <c r="F8" s="23">
        <f>IF(E8="监管者",C8,D8)</f>
        <v>0</v>
      </c>
      <c r="G8" s="23">
        <f>IF(E8="监管者",D8,C8)</f>
        <v>0</v>
      </c>
      <c r="H8" s="23">
        <f>'BO3'!J24</f>
        <v>0</v>
      </c>
      <c r="I8" s="23" t="str" cm="1">
        <f t="array" ref="I8">IFERROR(INDEX(tblRules[监管者得分],MATCH(H8,tblRules[结果],0)),"")</f>
        <v/>
      </c>
      <c r="J8" s="23" t="str" cm="1">
        <f t="array" ref="J8">IFERROR(INDEX(tblRules[求生者得分],MATCH(H8,tblRules[结果],0)),"")</f>
        <v/>
      </c>
      <c r="K8" s="23" t="str">
        <f>IF(OR($H8="",$F8=""),"",IF($F8=$C8,$I8,$J8))</f>
        <v/>
      </c>
      <c r="L8" s="23" t="str">
        <f>IF(OR($H8="",$F8=""),"",IF($F8=$D8,$I8,$J8))</f>
        <v/>
      </c>
      <c r="M8" s="23" t="str">
        <f>IF(OR($H8="",$F8="",$K8="",$L8=""),"",IF($K8&gt;$L8,1,IF($K8=$L8,1,0)))</f>
        <v/>
      </c>
      <c r="N8" s="23" t="str">
        <f>IF(OR($H8="",$F8="",$K8="",$L8=""),"",IF($L8&gt;$K8,1,IF($K8=$L8,1,0)))</f>
        <v/>
      </c>
      <c r="O8" s="30"/>
    </row>
    <row r="9" spans="1:15">
      <c r="A9" s="24"/>
      <c r="B9" s="25" t="s">
        <v>104</v>
      </c>
      <c r="C9" s="25">
        <f>'BO3'!I8</f>
        <v>0</v>
      </c>
      <c r="D9" s="25">
        <f>'BO3'!J8</f>
        <v>0</v>
      </c>
      <c r="E9" s="25" t="str">
        <f>IF('BO3'!K14="监管者","监管者","求生者")</f>
        <v>求生者</v>
      </c>
      <c r="F9" s="25">
        <f>IF(E8="监管者",D8,C8)</f>
        <v>0</v>
      </c>
      <c r="G9" s="25">
        <f>IF(E8="监管者",C8,D8)</f>
        <v>0</v>
      </c>
      <c r="H9" s="25">
        <f>'BO3'!J33</f>
        <v>0</v>
      </c>
      <c r="I9" s="25" t="str" cm="1">
        <f t="array" ref="I9">IFERROR(INDEX(tblRules[监管者得分],MATCH(H9,tblRules[结果],0)),"")</f>
        <v/>
      </c>
      <c r="J9" s="25" t="str" cm="1">
        <f t="array" ref="J9">IFERROR(INDEX(tblRules[求生者得分],MATCH(H9,tblRules[结果],0)),"")</f>
        <v/>
      </c>
      <c r="K9" s="25" t="str">
        <f>IF(OR($H9="",$F9=""),"",IF($F9=$C9,I9,J9))</f>
        <v/>
      </c>
      <c r="L9" s="25" t="str">
        <f>IF(OR($H9="",$F9=""),"",IF($F9=$D9,I9,J9))</f>
        <v/>
      </c>
      <c r="M9" s="25" t="str">
        <f t="shared" ref="M9:M15" si="0">IF(OR($H9="",$F9="",$K9="",$L9=""),"",IF($K9&gt;$L9,1,IF($K9=$L9,1,0)))</f>
        <v/>
      </c>
      <c r="N9" s="25" t="str">
        <f t="shared" ref="N9:N15" si="1">IF(OR($H9="",$F9="",$K9="",$L9=""),"",IF($L9&gt;$K9,1,IF($K9=$L9,1,0)))</f>
        <v/>
      </c>
      <c r="O9" s="31"/>
    </row>
    <row r="10" spans="1:15">
      <c r="A10" s="26">
        <v>2</v>
      </c>
      <c r="B10" s="18" t="s">
        <v>103</v>
      </c>
      <c r="C10" s="18">
        <f>'BO3'!I8</f>
        <v>0</v>
      </c>
      <c r="D10" s="18">
        <f>'BO3'!J8</f>
        <v>0</v>
      </c>
      <c r="E10" s="18" t="str">
        <f>IF('BO3'!K50="监管者","监管者","求生者")</f>
        <v>求生者</v>
      </c>
      <c r="F10" s="18">
        <f>IF(E10="监管者",C10,D10)</f>
        <v>0</v>
      </c>
      <c r="G10" s="18">
        <f t="shared" ref="G9:G15" si="2">IF(E10="求生者",C10,D10)</f>
        <v>0</v>
      </c>
      <c r="H10" s="18">
        <f>'BO3'!J60</f>
        <v>0</v>
      </c>
      <c r="I10" s="18" t="str" cm="1">
        <f t="array" ref="I10">IFERROR(INDEX(tblRules[监管者得分],MATCH(H10,tblRules[结果],0)),"")</f>
        <v/>
      </c>
      <c r="J10" s="18" t="str" cm="1">
        <f t="array" ref="J10">IFERROR(INDEX(tblRules[求生者得分],MATCH(H10,tblRules[结果],0)),"")</f>
        <v/>
      </c>
      <c r="K10" s="18" t="str">
        <f t="shared" ref="K9:K15" si="3">IF(OR($H10="",$F10=""),"",IF($F10=$C10,$I10,$J10))</f>
        <v/>
      </c>
      <c r="L10" s="18" t="str">
        <f t="shared" ref="L9:L15" si="4">IF(OR($H10="",$F10=""),"",IF($F10=$D10,$I10,$J10))</f>
        <v/>
      </c>
      <c r="M10" s="18" t="str">
        <f t="shared" si="0"/>
        <v/>
      </c>
      <c r="N10" s="18" t="str">
        <f t="shared" si="1"/>
        <v/>
      </c>
      <c r="O10" s="32"/>
    </row>
    <row r="11" spans="1:15">
      <c r="A11" s="24"/>
      <c r="B11" s="25" t="s">
        <v>104</v>
      </c>
      <c r="C11" s="25">
        <f>'BO3'!I8</f>
        <v>0</v>
      </c>
      <c r="D11" s="25">
        <f>'BO3'!J8</f>
        <v>0</v>
      </c>
      <c r="E11" s="25" t="str">
        <f>IF('BO3'!K50="监管者","求生者","监管者")</f>
        <v>监管者</v>
      </c>
      <c r="F11" s="25">
        <f>IF(E11="监管者",C11,D11)</f>
        <v>0</v>
      </c>
      <c r="G11" s="25">
        <f t="shared" si="2"/>
        <v>0</v>
      </c>
      <c r="H11" s="25">
        <f>'BO3'!J79</f>
        <v>0</v>
      </c>
      <c r="I11" s="25" t="str" cm="1">
        <f t="array" ref="I11">IFERROR(INDEX(tblRules[监管者得分],MATCH(H11,tblRules[结果],0)),"")</f>
        <v/>
      </c>
      <c r="J11" s="25" t="str" cm="1">
        <f t="array" ref="J11">IFERROR(INDEX(tblRules[求生者得分],MATCH(H11,tblRules[结果],0)),"")</f>
        <v/>
      </c>
      <c r="K11" s="25" t="str">
        <f>IF(OR($H11="",$F11=""),"",IF($F11=$C11,I11,J11))</f>
        <v/>
      </c>
      <c r="L11" s="25" t="str">
        <f t="shared" si="4"/>
        <v/>
      </c>
      <c r="M11" s="25" t="str">
        <f t="shared" si="0"/>
        <v/>
      </c>
      <c r="N11" s="25" t="str">
        <f t="shared" si="1"/>
        <v/>
      </c>
      <c r="O11" s="31"/>
    </row>
    <row r="12" spans="1:15">
      <c r="A12" s="26">
        <v>3</v>
      </c>
      <c r="B12" s="18" t="s">
        <v>103</v>
      </c>
      <c r="C12" s="18">
        <f>'BO3'!I8</f>
        <v>0</v>
      </c>
      <c r="D12" s="18">
        <f>'BO3'!J8</f>
        <v>0</v>
      </c>
      <c r="E12" s="18" t="str">
        <f>IF('BO3'!K101="监管者","求生者","监管者")</f>
        <v>监管者</v>
      </c>
      <c r="F12" s="18">
        <f t="shared" ref="F9:F15" si="5">IF(E12="监管者",C12,D12)</f>
        <v>0</v>
      </c>
      <c r="G12" s="18">
        <f t="shared" si="2"/>
        <v>0</v>
      </c>
      <c r="H12" s="18">
        <f>'BO3'!J111</f>
        <v>0</v>
      </c>
      <c r="I12" s="18" t="str" cm="1">
        <f t="array" ref="I12">IFERROR(INDEX(tblRules[监管者得分],MATCH(H12,tblRules[结果],0)),"")</f>
        <v/>
      </c>
      <c r="J12" s="18" t="str" cm="1">
        <f t="array" ref="J12">IFERROR(INDEX(tblRules[求生者得分],MATCH(H12,tblRules[结果],0)),"")</f>
        <v/>
      </c>
      <c r="K12" s="18" t="str">
        <f>IF(OR($H12="",$F12=""),"",IF($F12=$C12,$I12,$J12))</f>
        <v/>
      </c>
      <c r="L12" s="18" t="str">
        <f t="shared" si="4"/>
        <v/>
      </c>
      <c r="M12" s="18" t="str">
        <f t="shared" si="0"/>
        <v/>
      </c>
      <c r="N12" s="18" t="str">
        <f t="shared" si="1"/>
        <v/>
      </c>
      <c r="O12" s="32"/>
    </row>
    <row r="13" spans="1:15">
      <c r="A13" s="24"/>
      <c r="B13" s="25" t="s">
        <v>104</v>
      </c>
      <c r="C13" s="25">
        <f>'BO3'!I8</f>
        <v>0</v>
      </c>
      <c r="D13" s="25">
        <f>'BO3'!J8</f>
        <v>0</v>
      </c>
      <c r="E13" s="25" t="str">
        <f>IF('BO3'!K101="监管者","监管者","求生者")</f>
        <v>求生者</v>
      </c>
      <c r="F13" s="25">
        <f t="shared" si="5"/>
        <v>0</v>
      </c>
      <c r="G13" s="25">
        <f t="shared" si="2"/>
        <v>0</v>
      </c>
      <c r="H13" s="25">
        <f>'BO3'!J130</f>
        <v>0</v>
      </c>
      <c r="I13" s="25" t="str" cm="1">
        <f t="array" ref="I13">IFERROR(INDEX(tblRules[监管者得分],MATCH(H13,tblRules[结果],0)),"")</f>
        <v/>
      </c>
      <c r="J13" s="25" t="str" cm="1">
        <f t="array" ref="J13">IFERROR(INDEX(tblRules[求生者得分],MATCH(H13,tblRules[结果],0)),"")</f>
        <v/>
      </c>
      <c r="K13" s="25" t="str">
        <f t="shared" si="3"/>
        <v/>
      </c>
      <c r="L13" s="25" t="str">
        <f t="shared" si="4"/>
        <v/>
      </c>
      <c r="M13" s="25" t="str">
        <f t="shared" si="0"/>
        <v/>
      </c>
      <c r="N13" s="25" t="str">
        <f t="shared" si="1"/>
        <v/>
      </c>
      <c r="O13" s="31"/>
    </row>
    <row r="14" spans="1:15">
      <c r="A14" s="26" t="s">
        <v>72</v>
      </c>
      <c r="B14" s="18" t="s">
        <v>103</v>
      </c>
      <c r="C14" s="18">
        <f>'BO3'!I8</f>
        <v>0</v>
      </c>
      <c r="D14" s="18">
        <f>'BO3'!J8</f>
        <v>0</v>
      </c>
      <c r="E14" s="18" t="str">
        <f>IF('BO3'!K153="监管者","监管者","求生者")</f>
        <v>求生者</v>
      </c>
      <c r="F14" s="18">
        <f t="shared" si="5"/>
        <v>0</v>
      </c>
      <c r="G14" s="18">
        <f t="shared" si="2"/>
        <v>0</v>
      </c>
      <c r="H14" s="18">
        <f>'BO3'!J163</f>
        <v>0</v>
      </c>
      <c r="I14" s="18" t="str" cm="1">
        <f t="array" ref="I14">IFERROR(INDEX(tblRules[监管者得分],MATCH(H14,tblRules[结果],0)),"")</f>
        <v/>
      </c>
      <c r="J14" s="18" t="str" cm="1">
        <f t="array" ref="J14">IFERROR(INDEX(tblRules[求生者得分],MATCH(H14,tblRules[结果],0)),"")</f>
        <v/>
      </c>
      <c r="K14" s="18" t="str">
        <f t="shared" si="3"/>
        <v/>
      </c>
      <c r="L14" s="18" t="str">
        <f t="shared" si="4"/>
        <v/>
      </c>
      <c r="M14" s="18" t="str">
        <f t="shared" si="0"/>
        <v/>
      </c>
      <c r="N14" s="18" t="str">
        <f t="shared" si="1"/>
        <v/>
      </c>
      <c r="O14" s="32"/>
    </row>
    <row r="15" ht="15" spans="1:15">
      <c r="A15" s="27"/>
      <c r="B15" s="28" t="s">
        <v>104</v>
      </c>
      <c r="C15" s="28">
        <f>'BO3'!I8</f>
        <v>0</v>
      </c>
      <c r="D15" s="28">
        <f>'BO3'!J8</f>
        <v>0</v>
      </c>
      <c r="E15" s="28" t="str">
        <f>IF('BO3'!K153="监管者","求生者","监管者")</f>
        <v>监管者</v>
      </c>
      <c r="F15" s="28">
        <f t="shared" si="5"/>
        <v>0</v>
      </c>
      <c r="G15" s="28">
        <f t="shared" si="2"/>
        <v>0</v>
      </c>
      <c r="H15" s="28">
        <f>'BO3'!J185</f>
        <v>0</v>
      </c>
      <c r="I15" s="28" t="str" cm="1">
        <f t="array" ref="I15">IFERROR(INDEX(tblRules[监管者得分],MATCH(H15,tblRules[结果],0)),"")</f>
        <v/>
      </c>
      <c r="J15" s="28" t="str" cm="1">
        <f t="array" ref="J15">IFERROR(INDEX(tblRules[求生者得分],MATCH(H15,tblRules[结果],0)),"")</f>
        <v/>
      </c>
      <c r="K15" s="28" t="str">
        <f t="shared" si="3"/>
        <v/>
      </c>
      <c r="L15" s="28" t="str">
        <f t="shared" si="4"/>
        <v/>
      </c>
      <c r="M15" s="28" t="str">
        <f t="shared" si="0"/>
        <v/>
      </c>
      <c r="N15" s="28" t="str">
        <f t="shared" si="1"/>
        <v/>
      </c>
      <c r="O15" s="33"/>
    </row>
  </sheetData>
  <sheetProtection formatCells="0" formatColumns="0" formatRows="0" insertRows="0" insertColumns="0" insertHyperlinks="0" deleteColumns="0" deleteRows="0" sort="0" autoFilter="0" pivotTables="0"/>
  <mergeCells count="5">
    <mergeCell ref="A8:A9"/>
    <mergeCell ref="A10:A11"/>
    <mergeCell ref="A12:A13"/>
    <mergeCell ref="A14:A15"/>
    <mergeCell ref="B2:D4"/>
  </mergeCells>
  <pageMargins left="0.75" right="0.75" top="1" bottom="1" header="0.5" footer="0.5"/>
  <headerFooter/>
  <ignoredErrors>
    <ignoredError sqref="A7:O7 A8:H8 J8:O8 A9:O1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H22" sqref="H22"/>
    </sheetView>
  </sheetViews>
  <sheetFormatPr defaultColWidth="9" defaultRowHeight="13.5" outlineLevelRow="5" outlineLevelCol="2"/>
  <sheetData>
    <row r="1" ht="14.25" spans="1:3">
      <c r="A1" s="18" t="s">
        <v>105</v>
      </c>
      <c r="B1" s="18" t="s">
        <v>106</v>
      </c>
      <c r="C1" s="18" t="s">
        <v>107</v>
      </c>
    </row>
    <row r="2" ht="14.25" spans="1:3">
      <c r="A2" s="18" t="s">
        <v>50</v>
      </c>
      <c r="B2" s="18">
        <v>5</v>
      </c>
      <c r="C2" s="18">
        <v>0</v>
      </c>
    </row>
    <row r="3" ht="14.25" spans="1:3">
      <c r="A3" s="18" t="s">
        <v>51</v>
      </c>
      <c r="B3" s="18">
        <v>3</v>
      </c>
      <c r="C3" s="18">
        <v>1</v>
      </c>
    </row>
    <row r="4" ht="14.25" spans="1:3">
      <c r="A4" s="18" t="s">
        <v>52</v>
      </c>
      <c r="B4" s="18">
        <v>2</v>
      </c>
      <c r="C4" s="18">
        <v>2</v>
      </c>
    </row>
    <row r="5" ht="14.25" spans="1:3">
      <c r="A5" s="18" t="s">
        <v>55</v>
      </c>
      <c r="B5" s="18">
        <v>1</v>
      </c>
      <c r="C5" s="18">
        <v>3</v>
      </c>
    </row>
    <row r="6" ht="14.25" spans="1:3">
      <c r="A6" s="18" t="s">
        <v>59</v>
      </c>
      <c r="B6" s="18">
        <v>0</v>
      </c>
      <c r="C6" s="18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9"/>
  <sheetViews>
    <sheetView workbookViewId="0">
      <selection activeCell="P21" sqref="P21"/>
    </sheetView>
  </sheetViews>
  <sheetFormatPr defaultColWidth="9" defaultRowHeight="14.25"/>
  <cols>
    <col min="1" max="5" width="9" style="1"/>
    <col min="6" max="6" width="12.125" style="1" customWidth="1"/>
    <col min="7" max="7" width="13.25" style="1" customWidth="1"/>
    <col min="8" max="12" width="9" style="1"/>
    <col min="13" max="13" width="16.75" style="1" customWidth="1"/>
    <col min="14" max="14" width="17.125" style="1" customWidth="1"/>
    <col min="15" max="15" width="12.875" style="1" customWidth="1"/>
    <col min="16" max="16" width="12.75" style="1" customWidth="1"/>
    <col min="17" max="16384" width="9" style="1"/>
  </cols>
  <sheetData>
    <row r="2" spans="2:4">
      <c r="B2" s="2" t="s">
        <v>108</v>
      </c>
      <c r="C2" s="3"/>
      <c r="D2" s="3"/>
    </row>
    <row r="3" spans="2:4">
      <c r="B3" s="3"/>
      <c r="C3" s="3"/>
      <c r="D3" s="3"/>
    </row>
    <row r="4" spans="2:4">
      <c r="B4" s="3"/>
      <c r="C4" s="3"/>
      <c r="D4" s="3"/>
    </row>
    <row r="7" spans="1:16">
      <c r="A7" s="4" t="s">
        <v>89</v>
      </c>
      <c r="B7" s="5" t="s">
        <v>90</v>
      </c>
      <c r="C7" s="5" t="s">
        <v>91</v>
      </c>
      <c r="D7" s="5" t="s">
        <v>92</v>
      </c>
      <c r="E7" s="5" t="s">
        <v>109</v>
      </c>
      <c r="F7" s="5" t="s">
        <v>94</v>
      </c>
      <c r="G7" s="5" t="s">
        <v>95</v>
      </c>
      <c r="H7" s="5" t="s">
        <v>34</v>
      </c>
      <c r="I7" s="5" t="s">
        <v>96</v>
      </c>
      <c r="J7" s="5" t="s">
        <v>97</v>
      </c>
      <c r="K7" s="5" t="s">
        <v>98</v>
      </c>
      <c r="L7" s="5" t="s">
        <v>99</v>
      </c>
      <c r="M7" s="5" t="s">
        <v>110</v>
      </c>
      <c r="N7" s="5" t="s">
        <v>111</v>
      </c>
      <c r="O7" s="5" t="s">
        <v>112</v>
      </c>
      <c r="P7" s="12" t="s">
        <v>113</v>
      </c>
    </row>
    <row r="8" spans="1:16">
      <c r="A8" s="6">
        <v>1</v>
      </c>
      <c r="B8" s="7" t="s">
        <v>103</v>
      </c>
      <c r="C8" s="7">
        <f>'BO5'!$I$8</f>
        <v>0</v>
      </c>
      <c r="D8" s="7">
        <f>'BO5'!J8</f>
        <v>0</v>
      </c>
      <c r="E8" s="7" t="str">
        <f>IF('BO5'!$K$14="监管者","求生者","监管者")</f>
        <v>监管者</v>
      </c>
      <c r="F8" s="7">
        <f>IF(E8="监管者",C8,D8)</f>
        <v>0</v>
      </c>
      <c r="G8" s="7">
        <f>IF(E8="监管者",D8,C8)</f>
        <v>0</v>
      </c>
      <c r="H8" s="7">
        <f>'BO5'!J24</f>
        <v>0</v>
      </c>
      <c r="I8" s="7" t="str">
        <f t="shared" ref="I8:I19" si="0">IF($H8="","",IF($H8="四跑",0,IF($H8="三跑",1,IF($H8="平局",2,IF($H8="三抓",3,IF($H8="四抓",5,""))))))</f>
        <v/>
      </c>
      <c r="J8" s="7" t="str">
        <f t="shared" ref="J8:J19" si="1">IF($H8="","",IF($H8="四跑",5,IF($H8="三跑",3,IF($H8="平局",2,IF($H8="三抓",1,IF($H8="四抓",0,""))))))</f>
        <v/>
      </c>
      <c r="K8" s="7" t="str">
        <f t="shared" ref="K8:K18" si="2">IF(OR($H8="",$F8=""),"",IF($F8=$C8,$I8,$J8))</f>
        <v/>
      </c>
      <c r="L8" s="7" t="str">
        <f t="shared" ref="L8:L18" si="3">IF(OR($H8="",$F8=""),"",IF($F8=$D8,$I8,$J8))</f>
        <v/>
      </c>
      <c r="M8" s="7" t="str">
        <f>IF(OR($K8="",$L8="",$K9="",$L9=""),"",IF($K8+$K9&gt;$L8+$L9,1,IF($K8+$K9=$L8+$L9,1,0)))</f>
        <v/>
      </c>
      <c r="N8" s="7" t="str">
        <f>IF(OR($K8="",$L8="",$K9="",$L9=""),"",IF($L8+$L9&gt;$K8+$K9,1,IF($K8+$K9=$L8+$L9,1,0)))</f>
        <v/>
      </c>
      <c r="O8" s="7" t="str">
        <f>IF(M8="","",SUM($M$8:M8))</f>
        <v/>
      </c>
      <c r="P8" s="13" t="str">
        <f>IF(N8="","",SUM($N$8:N8))</f>
        <v/>
      </c>
    </row>
    <row r="9" spans="1:16">
      <c r="A9" s="8"/>
      <c r="B9" s="9" t="s">
        <v>104</v>
      </c>
      <c r="C9" s="9">
        <f>'BO5'!$I$8</f>
        <v>0</v>
      </c>
      <c r="D9" s="9">
        <f>'BO5'!$J$8</f>
        <v>0</v>
      </c>
      <c r="E9" s="9" t="str">
        <f>IF('BO5'!$K$14="监管者","监管者","求生者")</f>
        <v>求生者</v>
      </c>
      <c r="F9" s="9">
        <f t="shared" ref="F9:F19" si="4">IF(E9="监管者",C9,D9)</f>
        <v>0</v>
      </c>
      <c r="G9" s="9">
        <f t="shared" ref="G9:G19" si="5">IF(E9="监管者",D9,C9)</f>
        <v>0</v>
      </c>
      <c r="H9" s="9">
        <f>'BO5'!J33</f>
        <v>0</v>
      </c>
      <c r="I9" s="9" t="str">
        <f t="shared" si="0"/>
        <v/>
      </c>
      <c r="J9" s="9" t="str">
        <f t="shared" si="1"/>
        <v/>
      </c>
      <c r="K9" s="9" t="str">
        <f t="shared" si="2"/>
        <v/>
      </c>
      <c r="L9" s="9" t="str">
        <f t="shared" si="3"/>
        <v/>
      </c>
      <c r="M9" s="9"/>
      <c r="N9" s="9"/>
      <c r="O9" s="9"/>
      <c r="P9" s="14"/>
    </row>
    <row r="10" spans="1:16">
      <c r="A10" s="6">
        <v>2</v>
      </c>
      <c r="B10" s="7" t="s">
        <v>103</v>
      </c>
      <c r="C10" s="7">
        <f>'BO5'!$I$8</f>
        <v>0</v>
      </c>
      <c r="D10" s="7">
        <f>'BO5'!$J$8</f>
        <v>0</v>
      </c>
      <c r="E10" s="7" t="str">
        <f>IF('BO5'!$K$50="监管者","监管者","求生者")</f>
        <v>求生者</v>
      </c>
      <c r="F10" s="7">
        <f t="shared" si="4"/>
        <v>0</v>
      </c>
      <c r="G10" s="7">
        <f t="shared" si="5"/>
        <v>0</v>
      </c>
      <c r="H10" s="7">
        <f>'BO5'!J60</f>
        <v>0</v>
      </c>
      <c r="I10" s="7" t="str">
        <f t="shared" si="0"/>
        <v/>
      </c>
      <c r="J10" s="7" t="str">
        <f t="shared" si="1"/>
        <v/>
      </c>
      <c r="K10" s="7" t="str">
        <f t="shared" si="2"/>
        <v/>
      </c>
      <c r="L10" s="7" t="str">
        <f t="shared" si="3"/>
        <v/>
      </c>
      <c r="M10" s="7" t="str">
        <f>IF(OR($K10="",$L10="",$K11="",$L11=""),"",IF($K10+$K11&gt;$L10+$L11,1,IF($K10+$K11=$L10+$L11,1,0)))</f>
        <v/>
      </c>
      <c r="N10" s="7" t="str">
        <f>IF(OR($K10="",$L10="",$K11="",$L11=""),"",IF($L10+$L11&gt;$K10+$K11,1,IF($K10+$K11=$L10+$L11,1,0)))</f>
        <v/>
      </c>
      <c r="O10" s="7" t="str">
        <f>IF(M10="","",SUM($M$8:M10))</f>
        <v/>
      </c>
      <c r="P10" s="13" t="str">
        <f>IF(N10="","",SUM($N$8:N10))</f>
        <v/>
      </c>
    </row>
    <row r="11" spans="1:16">
      <c r="A11" s="8"/>
      <c r="B11" s="9" t="s">
        <v>104</v>
      </c>
      <c r="C11" s="9">
        <f>'BO5'!$I$8</f>
        <v>0</v>
      </c>
      <c r="D11" s="9">
        <f>'BO5'!$J$8</f>
        <v>0</v>
      </c>
      <c r="E11" s="9" t="str">
        <f>IF('BO5'!$K$50="监管者","求生者","监管者")</f>
        <v>监管者</v>
      </c>
      <c r="F11" s="9">
        <f t="shared" si="4"/>
        <v>0</v>
      </c>
      <c r="G11" s="9">
        <f t="shared" si="5"/>
        <v>0</v>
      </c>
      <c r="H11" s="9">
        <f>'BO5'!J79</f>
        <v>0</v>
      </c>
      <c r="I11" s="9" t="str">
        <f t="shared" si="0"/>
        <v/>
      </c>
      <c r="J11" s="9" t="str">
        <f t="shared" si="1"/>
        <v/>
      </c>
      <c r="K11" s="9" t="str">
        <f t="shared" si="2"/>
        <v/>
      </c>
      <c r="L11" s="9" t="str">
        <f t="shared" si="3"/>
        <v/>
      </c>
      <c r="M11" s="9"/>
      <c r="N11" s="9"/>
      <c r="O11" s="9"/>
      <c r="P11" s="14"/>
    </row>
    <row r="12" spans="1:16">
      <c r="A12" s="10">
        <v>3</v>
      </c>
      <c r="B12" s="11" t="s">
        <v>103</v>
      </c>
      <c r="C12" s="11">
        <f>'BO5'!$I$8</f>
        <v>0</v>
      </c>
      <c r="D12" s="11">
        <f>'BO5'!$J$8</f>
        <v>0</v>
      </c>
      <c r="E12" s="11" t="str">
        <f>IF('BO5'!$K$94="监管者","求生者","监管者")</f>
        <v>监管者</v>
      </c>
      <c r="F12" s="11">
        <f t="shared" si="4"/>
        <v>0</v>
      </c>
      <c r="G12" s="11">
        <f t="shared" si="5"/>
        <v>0</v>
      </c>
      <c r="H12" s="11">
        <f>'BO5'!J104</f>
        <v>0</v>
      </c>
      <c r="I12" s="11" t="str">
        <f t="shared" si="0"/>
        <v/>
      </c>
      <c r="J12" s="11" t="str">
        <f t="shared" si="1"/>
        <v/>
      </c>
      <c r="K12" s="11" t="str">
        <f t="shared" si="2"/>
        <v/>
      </c>
      <c r="L12" s="11" t="str">
        <f t="shared" si="3"/>
        <v/>
      </c>
      <c r="M12" s="11" t="str">
        <f>IF(OR($K12="",$L12="",$K13="",$L13=""),"",IF($K12+$K13&gt;$L12+$L13,1,IF($K12+$K13=$L12+$L13,1,0)))</f>
        <v/>
      </c>
      <c r="N12" s="11" t="str">
        <f>IF(OR($K12="",$L12="",$K13="",$L13=""),"",IF($L12+$L13&gt;$K12+$K13,1,IF($K12+$K13=$L12+$L13,1,0)))</f>
        <v/>
      </c>
      <c r="O12" s="11" t="str">
        <f>IF(M12="","",SUM($M$8:M12))</f>
        <v/>
      </c>
      <c r="P12" s="15" t="str">
        <f>IF(N12="","",SUM($N$8:N12))</f>
        <v/>
      </c>
    </row>
    <row r="13" spans="1:16">
      <c r="A13" s="10"/>
      <c r="B13" s="11" t="s">
        <v>104</v>
      </c>
      <c r="C13" s="11">
        <f>'BO5'!$I$8</f>
        <v>0</v>
      </c>
      <c r="D13" s="11">
        <f>'BO5'!$J$8</f>
        <v>0</v>
      </c>
      <c r="E13" s="11" t="str">
        <f>IF('BO5'!$K$94="监管者","监管者","求生者")</f>
        <v>求生者</v>
      </c>
      <c r="F13" s="11">
        <f t="shared" si="4"/>
        <v>0</v>
      </c>
      <c r="G13" s="11">
        <f t="shared" si="5"/>
        <v>0</v>
      </c>
      <c r="H13" s="11">
        <f>'BO5'!J123</f>
        <v>0</v>
      </c>
      <c r="I13" s="11" t="str">
        <f t="shared" si="0"/>
        <v/>
      </c>
      <c r="J13" s="11" t="str">
        <f t="shared" si="1"/>
        <v/>
      </c>
      <c r="K13" s="11" t="str">
        <f t="shared" si="2"/>
        <v/>
      </c>
      <c r="L13" s="11" t="str">
        <f t="shared" si="3"/>
        <v/>
      </c>
      <c r="M13" s="11"/>
      <c r="N13" s="11"/>
      <c r="O13" s="11"/>
      <c r="P13" s="15"/>
    </row>
    <row r="14" spans="1:16">
      <c r="A14" s="6">
        <v>4</v>
      </c>
      <c r="B14" s="7" t="s">
        <v>103</v>
      </c>
      <c r="C14" s="7">
        <f>'BO5'!$I$8</f>
        <v>0</v>
      </c>
      <c r="D14" s="7">
        <f>'BO5'!$J$8</f>
        <v>0</v>
      </c>
      <c r="E14" s="7" t="str">
        <f>IF('BO5'!$K$146="监管者","监管者","求生者")</f>
        <v>求生者</v>
      </c>
      <c r="F14" s="7">
        <f t="shared" si="4"/>
        <v>0</v>
      </c>
      <c r="G14" s="7">
        <f t="shared" si="5"/>
        <v>0</v>
      </c>
      <c r="H14" s="7">
        <f>'BO5'!J156</f>
        <v>0</v>
      </c>
      <c r="I14" s="7" t="str">
        <f t="shared" si="0"/>
        <v/>
      </c>
      <c r="J14" s="7" t="str">
        <f t="shared" si="1"/>
        <v/>
      </c>
      <c r="K14" s="7" t="str">
        <f t="shared" si="2"/>
        <v/>
      </c>
      <c r="L14" s="7" t="str">
        <f t="shared" si="3"/>
        <v/>
      </c>
      <c r="M14" s="7" t="str">
        <f>IF(OR($K14="",$L14="",$K15="",$L15=""),"",IF($K14+$K15&gt;$L14+$L15,1,IF($K14+$K15=$L14+$L15,1,0)))</f>
        <v/>
      </c>
      <c r="N14" s="7" t="str">
        <f>IF(OR($K14="",$L14="",$K15="",$L15=""),"",IF($L14+$L15&gt;$K14+$K15,1,IF($K14+$K15=$L14+$L15,1,0)))</f>
        <v/>
      </c>
      <c r="O14" s="7" t="str">
        <f>IF(M14="","",SUM($M$8:M14))</f>
        <v/>
      </c>
      <c r="P14" s="13" t="str">
        <f>IF(N14="","",SUM($N$8:N14))</f>
        <v/>
      </c>
    </row>
    <row r="15" spans="1:16">
      <c r="A15" s="8"/>
      <c r="B15" s="9" t="s">
        <v>104</v>
      </c>
      <c r="C15" s="9">
        <f>'BO5'!$I$8</f>
        <v>0</v>
      </c>
      <c r="D15" s="9">
        <f>'BO5'!$J$8</f>
        <v>0</v>
      </c>
      <c r="E15" s="9" t="str">
        <f>IF('BO5'!$K$146="监管者","求生者","监管者")</f>
        <v>监管者</v>
      </c>
      <c r="F15" s="9">
        <f t="shared" si="4"/>
        <v>0</v>
      </c>
      <c r="G15" s="9">
        <f t="shared" si="5"/>
        <v>0</v>
      </c>
      <c r="H15" s="9">
        <f>'BO5'!J178</f>
        <v>0</v>
      </c>
      <c r="I15" s="9" t="str">
        <f t="shared" si="0"/>
        <v/>
      </c>
      <c r="J15" s="9" t="str">
        <f t="shared" si="1"/>
        <v/>
      </c>
      <c r="K15" s="9" t="str">
        <f t="shared" si="2"/>
        <v/>
      </c>
      <c r="L15" s="9" t="str">
        <f t="shared" si="3"/>
        <v/>
      </c>
      <c r="M15" s="9"/>
      <c r="N15" s="9"/>
      <c r="O15" s="9"/>
      <c r="P15" s="14"/>
    </row>
    <row r="16" spans="1:16">
      <c r="A16" s="6">
        <v>5</v>
      </c>
      <c r="B16" s="7" t="s">
        <v>103</v>
      </c>
      <c r="C16" s="7">
        <f>'BO5'!$I$8</f>
        <v>0</v>
      </c>
      <c r="D16" s="7">
        <f>'BO5'!$J$8</f>
        <v>0</v>
      </c>
      <c r="E16" s="7" t="str">
        <f>IF('BO5'!$K$197="监管者","求生者","监管者")</f>
        <v>监管者</v>
      </c>
      <c r="F16" s="7">
        <f t="shared" si="4"/>
        <v>0</v>
      </c>
      <c r="G16" s="7">
        <f t="shared" si="5"/>
        <v>0</v>
      </c>
      <c r="H16" s="7">
        <f>'BO5'!J207</f>
        <v>0</v>
      </c>
      <c r="I16" s="16" t="str">
        <f t="shared" si="0"/>
        <v/>
      </c>
      <c r="J16" s="7" t="str">
        <f t="shared" si="1"/>
        <v/>
      </c>
      <c r="K16" s="7" t="str">
        <f t="shared" si="2"/>
        <v/>
      </c>
      <c r="L16" s="7" t="str">
        <f t="shared" si="3"/>
        <v/>
      </c>
      <c r="M16" s="7" t="str">
        <f>IF(OR($K16="",$L16="",$K17="",$L17=""),"",IF($K16+$K17&gt;$L16+$L17,1,IF($K16+$K17=$L16+$L17,1,0)))</f>
        <v/>
      </c>
      <c r="N16" s="7" t="str">
        <f>IF(OR($K16="",$L16="",$K17="",$L17=""),"",IF($L16+$L17&gt;$K16+$K17,1,IF($K16+$K17=$L16+$L17,1,0)))</f>
        <v/>
      </c>
      <c r="O16" s="7" t="str">
        <f>IF(M16="","",SUM($M$8:M16))</f>
        <v/>
      </c>
      <c r="P16" s="13" t="str">
        <f>IF(N16="","",SUM($N$8:N16))</f>
        <v/>
      </c>
    </row>
    <row r="17" spans="1:16">
      <c r="A17" s="8"/>
      <c r="B17" s="9" t="s">
        <v>104</v>
      </c>
      <c r="C17" s="9">
        <f>'BO5'!$I$8</f>
        <v>0</v>
      </c>
      <c r="D17" s="9">
        <f>'BO5'!$J$8</f>
        <v>0</v>
      </c>
      <c r="E17" s="9" t="str">
        <f>IF('BO5'!$K$197="监管者","监管者","求生者")</f>
        <v>求生者</v>
      </c>
      <c r="F17" s="9">
        <f t="shared" si="4"/>
        <v>0</v>
      </c>
      <c r="G17" s="9">
        <f t="shared" si="5"/>
        <v>0</v>
      </c>
      <c r="H17" s="9">
        <f>'BO5'!J231</f>
        <v>0</v>
      </c>
      <c r="I17" s="9" t="str">
        <f t="shared" si="0"/>
        <v/>
      </c>
      <c r="J17" s="9" t="str">
        <f t="shared" si="1"/>
        <v/>
      </c>
      <c r="K17" s="9" t="str">
        <f t="shared" si="2"/>
        <v/>
      </c>
      <c r="L17" s="9" t="str">
        <f t="shared" si="3"/>
        <v/>
      </c>
      <c r="M17" s="9"/>
      <c r="N17" s="9"/>
      <c r="O17" s="9"/>
      <c r="P17" s="14"/>
    </row>
    <row r="18" spans="1:16">
      <c r="A18" s="10" t="s">
        <v>72</v>
      </c>
      <c r="B18" s="11" t="s">
        <v>103</v>
      </c>
      <c r="C18" s="11">
        <f>'BO5'!$I$8</f>
        <v>0</v>
      </c>
      <c r="D18" s="11">
        <f>'BO5'!$J$8</f>
        <v>0</v>
      </c>
      <c r="E18" s="11" t="str">
        <f>IF('BO5'!K197="监管者","求生者","监管者")</f>
        <v>监管者</v>
      </c>
      <c r="F18" s="11">
        <f t="shared" si="4"/>
        <v>0</v>
      </c>
      <c r="G18" s="11">
        <f t="shared" si="5"/>
        <v>0</v>
      </c>
      <c r="H18" s="11">
        <f>'BO5'!J267</f>
        <v>0</v>
      </c>
      <c r="I18" s="11" t="str">
        <f t="shared" si="0"/>
        <v/>
      </c>
      <c r="J18" s="11" t="str">
        <f t="shared" si="1"/>
        <v/>
      </c>
      <c r="K18" s="11" t="str">
        <f t="shared" si="2"/>
        <v/>
      </c>
      <c r="L18" s="11" t="str">
        <f t="shared" si="3"/>
        <v/>
      </c>
      <c r="M18" s="11" t="str">
        <f>IF(OR($K18="",$L18="",$K19="",$L19=""),"",IF($K18+$K19&gt;$L18+$L19,1,IF($K18+$K19=$L18+$L19,1,0)))</f>
        <v/>
      </c>
      <c r="N18" s="11" t="str">
        <f>IF(OR($K18="",$L18="",$K19="",$L19=""),"",IF($L18+$L19&gt;$K18+$K19,1,IF($K18+$K19=$L18+$L19,1,0)))</f>
        <v/>
      </c>
      <c r="O18" s="17" t="str">
        <f>IF(M18="","",SUM($M$8:M18))</f>
        <v/>
      </c>
      <c r="P18" s="15" t="str">
        <f>IF(N18="","",SUM($N$8:N18))</f>
        <v/>
      </c>
    </row>
    <row r="19" spans="1:16">
      <c r="A19" s="8"/>
      <c r="B19" s="9" t="s">
        <v>104</v>
      </c>
      <c r="C19" s="9">
        <f>'BO5'!$I$8</f>
        <v>0</v>
      </c>
      <c r="D19" s="9">
        <f>'BO5'!$J$8</f>
        <v>0</v>
      </c>
      <c r="E19" s="9" t="str">
        <f>IF('BO5'!K197="监管者","监管者","求生者")</f>
        <v>求生者</v>
      </c>
      <c r="F19" s="9">
        <f t="shared" si="4"/>
        <v>0</v>
      </c>
      <c r="G19" s="9">
        <f t="shared" si="5"/>
        <v>0</v>
      </c>
      <c r="H19" s="9">
        <f>'BO5'!J290</f>
        <v>0</v>
      </c>
      <c r="I19" s="9" t="str">
        <f t="shared" si="0"/>
        <v/>
      </c>
      <c r="J19" s="9" t="str">
        <f t="shared" si="1"/>
        <v/>
      </c>
      <c r="K19" s="9" t="str">
        <f>IF(OR($H19="",$F19=""),"",IF($F19=$C19,J19,I19))</f>
        <v/>
      </c>
      <c r="L19" s="9" t="str">
        <f>IF(OR($H19="",$F19=""),"",IF($F19=$D19,J19,I19))</f>
        <v/>
      </c>
      <c r="M19" s="9"/>
      <c r="N19" s="9"/>
      <c r="O19" s="9"/>
      <c r="P19" s="14"/>
    </row>
  </sheetData>
  <mergeCells count="31">
    <mergeCell ref="A8:A9"/>
    <mergeCell ref="A10:A11"/>
    <mergeCell ref="A12:A13"/>
    <mergeCell ref="A14:A15"/>
    <mergeCell ref="A16:A17"/>
    <mergeCell ref="A18:A19"/>
    <mergeCell ref="M8:M9"/>
    <mergeCell ref="M10:M11"/>
    <mergeCell ref="M12:M13"/>
    <mergeCell ref="M14:M15"/>
    <mergeCell ref="M16:M17"/>
    <mergeCell ref="M18:M19"/>
    <mergeCell ref="N8:N9"/>
    <mergeCell ref="N10:N11"/>
    <mergeCell ref="N12:N13"/>
    <mergeCell ref="N14:N15"/>
    <mergeCell ref="N16:N17"/>
    <mergeCell ref="N18:N19"/>
    <mergeCell ref="O8:O9"/>
    <mergeCell ref="O10:O11"/>
    <mergeCell ref="O12:O13"/>
    <mergeCell ref="O14:O15"/>
    <mergeCell ref="O16:O17"/>
    <mergeCell ref="O18:O19"/>
    <mergeCell ref="P8:P9"/>
    <mergeCell ref="P10:P11"/>
    <mergeCell ref="P12:P13"/>
    <mergeCell ref="P14:P15"/>
    <mergeCell ref="P16:P17"/>
    <mergeCell ref="P18:P19"/>
    <mergeCell ref="B2:D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BO3</vt:lpstr>
      <vt:lpstr>BO5</vt:lpstr>
      <vt:lpstr>更新日志</vt:lpstr>
      <vt:lpstr>BO3计算表</vt:lpstr>
      <vt:lpstr>得分规则</vt:lpstr>
      <vt:lpstr>BO5计算表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我不是燃燃</cp:lastModifiedBy>
  <dcterms:created xsi:type="dcterms:W3CDTF">2026-02-03T02:15:00Z</dcterms:created>
  <dcterms:modified xsi:type="dcterms:W3CDTF">2026-10-05T12:57:32Z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54CD64206A4D42A2BEAC991E6C19C5B0_13</vt:lpwstr>
  </property>
  <property fmtid="{D5CDD505-2E9C-101B-9397-08002B2CF9AE}" pid="4" name="KSOProductBuildVer">
    <vt:lpwstr>2052-12.1.0.21915</vt:lpwstr>
  </property>
</Properties>
</file>